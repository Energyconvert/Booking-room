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00 Operation\Personal Data Locker\Anon T\"/>
    </mc:Choice>
  </mc:AlternateContent>
  <xr:revisionPtr revIDLastSave="0" documentId="13_ncr:1_{B03D9532-A5FB-4AB3-9E0A-6D8255E3ABDE}" xr6:coauthVersionLast="47" xr6:coauthVersionMax="47" xr10:uidLastSave="{00000000-0000-0000-0000-000000000000}"/>
  <bookViews>
    <workbookView xWindow="-108" yWindow="-108" windowWidth="23256" windowHeight="12576" activeTab="5" xr2:uid="{5422592A-35AB-40DA-A926-28537E6900DD}"/>
  </bookViews>
  <sheets>
    <sheet name="Sheet1" sheetId="1" r:id="rId1"/>
    <sheet name="List" sheetId="2" r:id="rId2"/>
    <sheet name="Calendar" sheetId="3" r:id="rId3"/>
    <sheet name="Pivot" sheetId="7" r:id="rId4"/>
    <sheet name="DataBase" sheetId="4" r:id="rId5"/>
    <sheet name="Home" sheetId="5" r:id="rId6"/>
  </sheets>
  <definedNames>
    <definedName name="A">List!$C$5:$C$6</definedName>
    <definedName name="B">List!$C$8:$C$17</definedName>
    <definedName name="BedType">List!$D$4:$D$43</definedName>
    <definedName name="C_1">List!$C$19:$C$30</definedName>
    <definedName name="C_2">List!$C$32:$C$43</definedName>
    <definedName name="Check_in">Home!$E$10</definedName>
    <definedName name="Check_out">Home!$F$10</definedName>
    <definedName name="Day">List!$L$3:$L$9</definedName>
    <definedName name="DinM">List!$O$3:$O$33</definedName>
    <definedName name="Month">List!$J$3:$J$14</definedName>
    <definedName name="Room">List!$C$4:$C$43</definedName>
    <definedName name="RoomType">List!$B$4:$B$7</definedName>
    <definedName name="Year">List!$M$3:$M$6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4" l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Z2" i="4"/>
  <c r="W13" i="4" s="1"/>
  <c r="M4" i="4"/>
  <c r="N4" i="4"/>
  <c r="M5" i="4"/>
  <c r="N5" i="4"/>
  <c r="M6" i="4"/>
  <c r="N6" i="4"/>
  <c r="M7" i="4"/>
  <c r="N7" i="4"/>
  <c r="M8" i="4"/>
  <c r="N8" i="4"/>
  <c r="M9" i="4"/>
  <c r="N9" i="4"/>
  <c r="M10" i="4"/>
  <c r="N10" i="4"/>
  <c r="M11" i="4"/>
  <c r="N11" i="4"/>
  <c r="M12" i="4"/>
  <c r="N12" i="4"/>
  <c r="M13" i="4"/>
  <c r="N13" i="4"/>
  <c r="M14" i="4"/>
  <c r="N14" i="4"/>
  <c r="M15" i="4"/>
  <c r="N15" i="4"/>
  <c r="M16" i="4"/>
  <c r="N16" i="4"/>
  <c r="M17" i="4"/>
  <c r="N17" i="4"/>
  <c r="M18" i="4"/>
  <c r="N18" i="4"/>
  <c r="M19" i="4"/>
  <c r="N19" i="4"/>
  <c r="M20" i="4"/>
  <c r="N20" i="4"/>
  <c r="M21" i="4"/>
  <c r="N21" i="4"/>
  <c r="M22" i="4"/>
  <c r="N22" i="4"/>
  <c r="M23" i="4"/>
  <c r="N23" i="4"/>
  <c r="M24" i="4"/>
  <c r="N24" i="4"/>
  <c r="M25" i="4"/>
  <c r="N25" i="4"/>
  <c r="M26" i="4"/>
  <c r="N26" i="4"/>
  <c r="M27" i="4"/>
  <c r="N27" i="4"/>
  <c r="M28" i="4"/>
  <c r="N28" i="4"/>
  <c r="M29" i="4"/>
  <c r="N29" i="4"/>
  <c r="M30" i="4"/>
  <c r="N30" i="4"/>
  <c r="M31" i="4"/>
  <c r="N31" i="4"/>
  <c r="M32" i="4"/>
  <c r="N32" i="4"/>
  <c r="M33" i="4"/>
  <c r="N33" i="4"/>
  <c r="M34" i="4"/>
  <c r="N34" i="4"/>
  <c r="M35" i="4"/>
  <c r="N35" i="4"/>
  <c r="M36" i="4"/>
  <c r="N36" i="4"/>
  <c r="M37" i="4"/>
  <c r="N37" i="4"/>
  <c r="M38" i="4"/>
  <c r="N38" i="4"/>
  <c r="M39" i="4"/>
  <c r="N39" i="4"/>
  <c r="M40" i="4"/>
  <c r="N40" i="4"/>
  <c r="M41" i="4"/>
  <c r="N41" i="4"/>
  <c r="M42" i="4"/>
  <c r="N42" i="4"/>
  <c r="M43" i="4"/>
  <c r="N43" i="4"/>
  <c r="M44" i="4"/>
  <c r="N44" i="4"/>
  <c r="M45" i="4"/>
  <c r="N45" i="4"/>
  <c r="M46" i="4"/>
  <c r="N46" i="4"/>
  <c r="M47" i="4"/>
  <c r="N47" i="4"/>
  <c r="M48" i="4"/>
  <c r="N48" i="4"/>
  <c r="M49" i="4"/>
  <c r="N49" i="4"/>
  <c r="M50" i="4"/>
  <c r="N50" i="4"/>
  <c r="M51" i="4"/>
  <c r="N51" i="4"/>
  <c r="M52" i="4"/>
  <c r="N52" i="4"/>
  <c r="M53" i="4"/>
  <c r="N53" i="4"/>
  <c r="M54" i="4"/>
  <c r="N54" i="4"/>
  <c r="M55" i="4"/>
  <c r="N55" i="4"/>
  <c r="M56" i="4"/>
  <c r="N56" i="4"/>
  <c r="M57" i="4"/>
  <c r="N57" i="4"/>
  <c r="M58" i="4"/>
  <c r="N58" i="4"/>
  <c r="M59" i="4"/>
  <c r="N59" i="4"/>
  <c r="M60" i="4"/>
  <c r="N60" i="4"/>
  <c r="M61" i="4"/>
  <c r="N61" i="4"/>
  <c r="M62" i="4"/>
  <c r="N62" i="4"/>
  <c r="N3" i="4"/>
  <c r="M3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W36" i="4" l="1"/>
  <c r="W47" i="4"/>
  <c r="W10" i="4"/>
  <c r="W57" i="4"/>
  <c r="W45" i="4"/>
  <c r="W33" i="4"/>
  <c r="W21" i="4"/>
  <c r="W9" i="4"/>
  <c r="W48" i="4"/>
  <c r="W12" i="4"/>
  <c r="W59" i="4"/>
  <c r="W58" i="4"/>
  <c r="W56" i="4"/>
  <c r="W44" i="4"/>
  <c r="W32" i="4"/>
  <c r="W20" i="4"/>
  <c r="W8" i="4"/>
  <c r="W11" i="4"/>
  <c r="W46" i="4"/>
  <c r="W55" i="4"/>
  <c r="W43" i="4"/>
  <c r="W31" i="4"/>
  <c r="W19" i="4"/>
  <c r="W7" i="4"/>
  <c r="W22" i="4"/>
  <c r="W54" i="4"/>
  <c r="W42" i="4"/>
  <c r="W30" i="4"/>
  <c r="W18" i="4"/>
  <c r="W6" i="4"/>
  <c r="W60" i="4"/>
  <c r="W34" i="4"/>
  <c r="W53" i="4"/>
  <c r="W41" i="4"/>
  <c r="W29" i="4"/>
  <c r="W17" i="4"/>
  <c r="W5" i="4"/>
  <c r="W52" i="4"/>
  <c r="W40" i="4"/>
  <c r="W28" i="4"/>
  <c r="W16" i="4"/>
  <c r="W4" i="4"/>
  <c r="W35" i="4"/>
  <c r="W3" i="4"/>
  <c r="X3" i="4" s="1"/>
  <c r="W51" i="4"/>
  <c r="W39" i="4"/>
  <c r="W27" i="4"/>
  <c r="W15" i="4"/>
  <c r="W62" i="4"/>
  <c r="W50" i="4"/>
  <c r="W38" i="4"/>
  <c r="W26" i="4"/>
  <c r="W14" i="4"/>
  <c r="Z5" i="4"/>
  <c r="W24" i="4"/>
  <c r="W23" i="4"/>
  <c r="W61" i="4"/>
  <c r="W49" i="4"/>
  <c r="W37" i="4"/>
  <c r="W25" i="4"/>
  <c r="O4" i="4" l="1"/>
  <c r="O5" i="4"/>
  <c r="O6" i="4"/>
  <c r="O7" i="4"/>
  <c r="O8" i="4"/>
  <c r="O9" i="4"/>
  <c r="O10" i="4"/>
  <c r="O11" i="4"/>
  <c r="O12" i="4"/>
  <c r="O13" i="4"/>
  <c r="O14" i="4"/>
  <c r="O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3" i="4"/>
  <c r="L10" i="5" l="1"/>
  <c r="K10" i="5"/>
  <c r="I10" i="5"/>
  <c r="AG2" i="4" s="1"/>
  <c r="H10" i="5"/>
  <c r="G10" i="5"/>
  <c r="F13" i="2"/>
  <c r="V22" i="4" l="1"/>
  <c r="V9" i="4"/>
  <c r="U9" i="4" s="1"/>
  <c r="V39" i="4"/>
  <c r="U39" i="4" s="1"/>
  <c r="V18" i="4"/>
  <c r="V56" i="4"/>
  <c r="U56" i="4" s="1"/>
  <c r="V17" i="4"/>
  <c r="V37" i="4"/>
  <c r="U37" i="4" s="1"/>
  <c r="V3" i="4"/>
  <c r="U3" i="4" s="1"/>
  <c r="V38" i="4"/>
  <c r="U38" i="4" s="1"/>
  <c r="V50" i="4"/>
  <c r="U50" i="4" s="1"/>
  <c r="V29" i="4"/>
  <c r="U29" i="4" s="1"/>
  <c r="V34" i="4"/>
  <c r="U34" i="4" s="1"/>
  <c r="V35" i="4"/>
  <c r="U35" i="4" s="1"/>
  <c r="V62" i="4"/>
  <c r="U62" i="4" s="1"/>
  <c r="V46" i="4"/>
  <c r="U46" i="4" s="1"/>
  <c r="V5" i="4"/>
  <c r="V6" i="4"/>
  <c r="U6" i="4" s="1"/>
  <c r="V58" i="4"/>
  <c r="U58" i="4" s="1"/>
  <c r="V49" i="4"/>
  <c r="U49" i="4" s="1"/>
  <c r="V15" i="4"/>
  <c r="V42" i="4"/>
  <c r="U42" i="4" s="1"/>
  <c r="V21" i="4"/>
  <c r="V24" i="4"/>
  <c r="V61" i="4"/>
  <c r="U61" i="4" s="1"/>
  <c r="V28" i="4"/>
  <c r="U28" i="4" s="1"/>
  <c r="V54" i="4"/>
  <c r="U54" i="4" s="1"/>
  <c r="V10" i="4"/>
  <c r="U10" i="4" s="1"/>
  <c r="V40" i="4"/>
  <c r="U40" i="4" s="1"/>
  <c r="V11" i="4"/>
  <c r="U11" i="4" s="1"/>
  <c r="V52" i="4"/>
  <c r="U52" i="4" s="1"/>
  <c r="V31" i="4"/>
  <c r="U31" i="4" s="1"/>
  <c r="V45" i="4"/>
  <c r="U45" i="4" s="1"/>
  <c r="V47" i="4"/>
  <c r="U47" i="4" s="1"/>
  <c r="V20" i="4"/>
  <c r="V36" i="4"/>
  <c r="U36" i="4" s="1"/>
  <c r="V14" i="4"/>
  <c r="V41" i="4"/>
  <c r="U41" i="4" s="1"/>
  <c r="V32" i="4"/>
  <c r="U32" i="4" s="1"/>
  <c r="V8" i="4"/>
  <c r="U8" i="4" s="1"/>
  <c r="V25" i="4"/>
  <c r="V57" i="4"/>
  <c r="U57" i="4" s="1"/>
  <c r="V48" i="4"/>
  <c r="U48" i="4" s="1"/>
  <c r="V19" i="4"/>
  <c r="V23" i="4"/>
  <c r="V4" i="4"/>
  <c r="U4" i="4" s="1"/>
  <c r="V16" i="4"/>
  <c r="V7" i="4"/>
  <c r="U7" i="4" s="1"/>
  <c r="V60" i="4"/>
  <c r="U60" i="4" s="1"/>
  <c r="V27" i="4"/>
  <c r="U27" i="4" s="1"/>
  <c r="V53" i="4"/>
  <c r="U53" i="4" s="1"/>
  <c r="V44" i="4"/>
  <c r="U44" i="4" s="1"/>
  <c r="V12" i="4"/>
  <c r="V51" i="4"/>
  <c r="U51" i="4" s="1"/>
  <c r="V33" i="4"/>
  <c r="U33" i="4" s="1"/>
  <c r="V30" i="4"/>
  <c r="U30" i="4" s="1"/>
  <c r="V13" i="4"/>
  <c r="V26" i="4"/>
  <c r="U26" i="4" s="1"/>
  <c r="V43" i="4"/>
  <c r="U43" i="4" s="1"/>
  <c r="V55" i="4"/>
  <c r="U55" i="4" s="1"/>
  <c r="V59" i="4"/>
  <c r="U59" i="4" s="1"/>
  <c r="C10" i="5"/>
  <c r="J10" i="5" s="1"/>
  <c r="F5" i="5"/>
  <c r="E6" i="3" a="1"/>
  <c r="E6" i="3" s="1"/>
  <c r="BE6" i="3" s="1" a="1"/>
  <c r="AT2" i="3"/>
  <c r="AU2" i="3"/>
  <c r="AV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K2" i="3"/>
  <c r="I2" i="2"/>
  <c r="M5" i="2"/>
  <c r="M6" i="2"/>
  <c r="M4" i="2"/>
  <c r="F7" i="2"/>
  <c r="BE6" i="3" l="1"/>
  <c r="BH13" i="3" a="1"/>
  <c r="BH13" i="3" s="1"/>
  <c r="BG10" i="3" a="1"/>
  <c r="BG10" i="3" s="1"/>
  <c r="AX10" i="3" s="1"/>
  <c r="BF11" i="3" a="1"/>
  <c r="BF11" i="3" s="1"/>
  <c r="AW11" i="3" s="1"/>
  <c r="BH16" i="3" a="1"/>
  <c r="BH16" i="3" s="1"/>
  <c r="BG11" i="3" a="1"/>
  <c r="BG11" i="3" s="1"/>
  <c r="AX11" i="3" s="1"/>
  <c r="BF16" i="3" a="1"/>
  <c r="BF16" i="3" s="1"/>
  <c r="AW16" i="3" s="1"/>
  <c r="BH7" i="3" a="1"/>
  <c r="BH7" i="3" s="1"/>
  <c r="BG14" i="3" a="1"/>
  <c r="BG14" i="3" s="1"/>
  <c r="AX14" i="3" s="1"/>
  <c r="BH17" i="3" a="1"/>
  <c r="BH17" i="3" s="1"/>
  <c r="BG12" i="3" a="1"/>
  <c r="BG12" i="3" s="1"/>
  <c r="AX12" i="3" s="1"/>
  <c r="BF9" i="3" a="1"/>
  <c r="BF9" i="3" s="1"/>
  <c r="AW9" i="3" s="1"/>
  <c r="BG9" i="3" a="1"/>
  <c r="BG9" i="3" s="1"/>
  <c r="AX9" i="3" s="1"/>
  <c r="BH14" i="3" a="1"/>
  <c r="BH14" i="3" s="1"/>
  <c r="BG15" i="3" a="1"/>
  <c r="BG15" i="3" s="1"/>
  <c r="AX15" i="3" s="1"/>
  <c r="BF8" i="3" a="1"/>
  <c r="BF8" i="3" s="1"/>
  <c r="AW8" i="3" s="1"/>
  <c r="BH8" i="3" a="1"/>
  <c r="BH8" i="3" s="1"/>
  <c r="BG8" i="3" a="1"/>
  <c r="BG8" i="3" s="1"/>
  <c r="AX8" i="3" s="1"/>
  <c r="BF17" i="3" a="1"/>
  <c r="BF17" i="3" s="1"/>
  <c r="AW17" i="3" s="1"/>
  <c r="BH15" i="3" a="1"/>
  <c r="BH15" i="3" s="1"/>
  <c r="BG16" i="3" a="1"/>
  <c r="BG16" i="3" s="1"/>
  <c r="AX16" i="3" s="1"/>
  <c r="BF13" i="3" a="1"/>
  <c r="BF13" i="3" s="1"/>
  <c r="AW13" i="3" s="1"/>
  <c r="BG13" i="3" a="1"/>
  <c r="BG13" i="3" s="1"/>
  <c r="AX13" i="3" s="1"/>
  <c r="BH11" i="3" a="1"/>
  <c r="BH11" i="3" s="1"/>
  <c r="BG17" i="3" a="1"/>
  <c r="BG17" i="3" s="1"/>
  <c r="AX17" i="3" s="1"/>
  <c r="BH12" i="3" a="1"/>
  <c r="BH12" i="3" s="1"/>
  <c r="BF14" i="3" a="1"/>
  <c r="BF14" i="3" s="1"/>
  <c r="AW14" i="3" s="1"/>
  <c r="BF15" i="3" a="1"/>
  <c r="BF15" i="3" s="1"/>
  <c r="AW15" i="3" s="1"/>
  <c r="BG7" i="3" a="1"/>
  <c r="BG7" i="3" s="1"/>
  <c r="AX7" i="3" s="1"/>
  <c r="BF7" i="3" a="1"/>
  <c r="BF7" i="3" s="1"/>
  <c r="AW7" i="3" s="1"/>
  <c r="BF12" i="3" a="1"/>
  <c r="BF12" i="3" s="1"/>
  <c r="AW12" i="3" s="1"/>
  <c r="BH9" i="3" a="1"/>
  <c r="BH9" i="3" s="1"/>
  <c r="BH10" i="3" a="1"/>
  <c r="BH10" i="3" s="1"/>
  <c r="BF10" i="3" a="1"/>
  <c r="BF10" i="3" s="1"/>
  <c r="AW10" i="3" s="1"/>
  <c r="F10" i="5"/>
  <c r="AI2" i="4" s="1"/>
  <c r="AI3" i="4" s="1"/>
  <c r="E10" i="5"/>
  <c r="I16" i="2"/>
  <c r="K4" i="3" s="1"/>
  <c r="BG6" i="3" l="1" a="1"/>
  <c r="BG6" i="3" s="1"/>
  <c r="AX6" i="3" s="1"/>
  <c r="BF6" i="3" a="1"/>
  <c r="BF6" i="3" s="1"/>
  <c r="AW6" i="3" s="1"/>
  <c r="BH6" i="3" a="1"/>
  <c r="BH6" i="3" s="1"/>
  <c r="AH2" i="4"/>
  <c r="AH3" i="4" s="1"/>
  <c r="S4" i="4" s="1"/>
  <c r="Z8" i="4"/>
  <c r="K5" i="3"/>
  <c r="I9" i="2"/>
  <c r="K9" i="2" s="1"/>
  <c r="I11" i="2"/>
  <c r="K11" i="2" s="1"/>
  <c r="I12" i="2"/>
  <c r="K12" i="2" s="1"/>
  <c r="I13" i="2"/>
  <c r="K13" i="2" s="1"/>
  <c r="I14" i="2"/>
  <c r="K14" i="2" s="1"/>
  <c r="I4" i="2"/>
  <c r="K4" i="2" s="1"/>
  <c r="I5" i="2"/>
  <c r="K5" i="2" s="1"/>
  <c r="I6" i="2"/>
  <c r="K6" i="2" s="1"/>
  <c r="I7" i="2"/>
  <c r="K7" i="2" s="1"/>
  <c r="I8" i="2"/>
  <c r="K8" i="2" s="1"/>
  <c r="I10" i="2"/>
  <c r="K10" i="2" s="1"/>
  <c r="I3" i="2"/>
  <c r="K3" i="2" s="1"/>
  <c r="Q38" i="4" l="1"/>
  <c r="Q25" i="4"/>
  <c r="P48" i="4"/>
  <c r="Q49" i="4"/>
  <c r="R34" i="4"/>
  <c r="Q21" i="4"/>
  <c r="P31" i="4"/>
  <c r="S49" i="4"/>
  <c r="Q11" i="4"/>
  <c r="S18" i="4"/>
  <c r="S5" i="4"/>
  <c r="P57" i="4"/>
  <c r="R6" i="4"/>
  <c r="P60" i="4"/>
  <c r="P51" i="4"/>
  <c r="P12" i="4"/>
  <c r="Q62" i="4"/>
  <c r="Q34" i="4"/>
  <c r="S9" i="4"/>
  <c r="P22" i="4"/>
  <c r="R3" i="4"/>
  <c r="S38" i="4"/>
  <c r="P8" i="4"/>
  <c r="P55" i="4"/>
  <c r="Q59" i="4"/>
  <c r="Q6" i="4"/>
  <c r="S29" i="4"/>
  <c r="R35" i="4"/>
  <c r="P29" i="4"/>
  <c r="P25" i="4"/>
  <c r="P13" i="4"/>
  <c r="S51" i="4"/>
  <c r="P36" i="4"/>
  <c r="R46" i="4"/>
  <c r="Q33" i="4"/>
  <c r="P43" i="4"/>
  <c r="Q35" i="4"/>
  <c r="R42" i="4"/>
  <c r="S17" i="4"/>
  <c r="R11" i="4"/>
  <c r="P5" i="4"/>
  <c r="R27" i="4"/>
  <c r="R14" i="4"/>
  <c r="Q61" i="4"/>
  <c r="R39" i="4"/>
  <c r="S58" i="4"/>
  <c r="Q9" i="4"/>
  <c r="P19" i="4"/>
  <c r="S25" i="4"/>
  <c r="R47" i="4"/>
  <c r="P52" i="4"/>
  <c r="R61" i="4"/>
  <c r="P9" i="4"/>
  <c r="S42" i="4"/>
  <c r="R62" i="4"/>
  <c r="Q56" i="4"/>
  <c r="Q10" i="4"/>
  <c r="S50" i="4"/>
  <c r="S34" i="4"/>
  <c r="Q44" i="4"/>
  <c r="Q22" i="4"/>
  <c r="P47" i="4"/>
  <c r="P39" i="4"/>
  <c r="Q27" i="4"/>
  <c r="P38" i="4"/>
  <c r="S22" i="4"/>
  <c r="R44" i="4"/>
  <c r="Q55" i="4"/>
  <c r="R48" i="4"/>
  <c r="P30" i="4"/>
  <c r="R26" i="4"/>
  <c r="R51" i="4"/>
  <c r="S10" i="4"/>
  <c r="R32" i="4"/>
  <c r="Q31" i="4"/>
  <c r="R24" i="4"/>
  <c r="Q4" i="4"/>
  <c r="Q14" i="4"/>
  <c r="P33" i="4"/>
  <c r="R9" i="4"/>
  <c r="R12" i="4"/>
  <c r="Q5" i="4"/>
  <c r="R7" i="4"/>
  <c r="P62" i="4"/>
  <c r="S62" i="4"/>
  <c r="P37" i="4"/>
  <c r="Q58" i="4"/>
  <c r="P44" i="4"/>
  <c r="S57" i="4"/>
  <c r="R8" i="4"/>
  <c r="S48" i="4"/>
  <c r="R43" i="4"/>
  <c r="R53" i="4"/>
  <c r="S36" i="4"/>
  <c r="S55" i="4"/>
  <c r="R40" i="4"/>
  <c r="S46" i="4"/>
  <c r="S13" i="4"/>
  <c r="P21" i="4"/>
  <c r="R38" i="4"/>
  <c r="R45" i="4"/>
  <c r="P59" i="4"/>
  <c r="P4" i="4"/>
  <c r="P54" i="4"/>
  <c r="Q15" i="4"/>
  <c r="S26" i="4"/>
  <c r="R33" i="4"/>
  <c r="P35" i="4"/>
  <c r="Q53" i="4"/>
  <c r="Q16" i="4"/>
  <c r="S3" i="4"/>
  <c r="S23" i="4"/>
  <c r="R21" i="4"/>
  <c r="P11" i="4"/>
  <c r="Q41" i="4"/>
  <c r="P6" i="4"/>
  <c r="S14" i="4"/>
  <c r="S39" i="4"/>
  <c r="P56" i="4"/>
  <c r="R20" i="4"/>
  <c r="Q7" i="4"/>
  <c r="S60" i="4"/>
  <c r="R52" i="4"/>
  <c r="Q26" i="4"/>
  <c r="P49" i="4"/>
  <c r="Q50" i="4"/>
  <c r="Q46" i="4"/>
  <c r="P32" i="4"/>
  <c r="S45" i="4"/>
  <c r="S56" i="4"/>
  <c r="P34" i="4"/>
  <c r="P41" i="4"/>
  <c r="S53" i="4"/>
  <c r="S12" i="4"/>
  <c r="S7" i="4"/>
  <c r="R28" i="4"/>
  <c r="S15" i="4"/>
  <c r="R57" i="4"/>
  <c r="P16" i="4"/>
  <c r="R50" i="4"/>
  <c r="S44" i="4"/>
  <c r="S41" i="4"/>
  <c r="P46" i="4"/>
  <c r="P53" i="4"/>
  <c r="R16" i="4"/>
  <c r="S27" i="4"/>
  <c r="S37" i="4"/>
  <c r="P24" i="4"/>
  <c r="R15" i="4"/>
  <c r="P20" i="4"/>
  <c r="P17" i="4"/>
  <c r="P61" i="4"/>
  <c r="R58" i="4"/>
  <c r="S8" i="4"/>
  <c r="Q37" i="4"/>
  <c r="Q32" i="4"/>
  <c r="R25" i="4"/>
  <c r="S24" i="4"/>
  <c r="P42" i="4"/>
  <c r="R18" i="4"/>
  <c r="R41" i="4"/>
  <c r="Q36" i="4"/>
  <c r="S47" i="4"/>
  <c r="S31" i="4"/>
  <c r="P27" i="4"/>
  <c r="Q20" i="4"/>
  <c r="S61" i="4"/>
  <c r="P58" i="4"/>
  <c r="P18" i="4"/>
  <c r="S54" i="4"/>
  <c r="R29" i="4"/>
  <c r="Q12" i="4"/>
  <c r="S11" i="4"/>
  <c r="S19" i="4"/>
  <c r="P15" i="4"/>
  <c r="S32" i="4"/>
  <c r="Q48" i="4"/>
  <c r="S35" i="4"/>
  <c r="Q54" i="4"/>
  <c r="Q29" i="4"/>
  <c r="R37" i="4"/>
  <c r="P10" i="4"/>
  <c r="R55" i="4"/>
  <c r="S30" i="4"/>
  <c r="R4" i="4"/>
  <c r="P7" i="4"/>
  <c r="S20" i="4"/>
  <c r="Q24" i="4"/>
  <c r="P45" i="4"/>
  <c r="Q30" i="4"/>
  <c r="Q17" i="4"/>
  <c r="R13" i="4"/>
  <c r="Q47" i="4"/>
  <c r="R31" i="4"/>
  <c r="S6" i="4"/>
  <c r="S52" i="4"/>
  <c r="S40" i="4"/>
  <c r="P50" i="4"/>
  <c r="P26" i="4"/>
  <c r="R22" i="4"/>
  <c r="Q57" i="4"/>
  <c r="S33" i="4"/>
  <c r="T33" i="4" s="1"/>
  <c r="Q8" i="4"/>
  <c r="Q13" i="4"/>
  <c r="R60" i="4"/>
  <c r="R23" i="4"/>
  <c r="R19" i="4"/>
  <c r="P40" i="4"/>
  <c r="R17" i="4"/>
  <c r="P23" i="4"/>
  <c r="Q23" i="4"/>
  <c r="Q43" i="4"/>
  <c r="Q42" i="4"/>
  <c r="P3" i="4"/>
  <c r="P14" i="4"/>
  <c r="Q3" i="4"/>
  <c r="Q51" i="4"/>
  <c r="Q39" i="4"/>
  <c r="R10" i="4"/>
  <c r="Q45" i="4"/>
  <c r="S21" i="4"/>
  <c r="R56" i="4"/>
  <c r="R49" i="4"/>
  <c r="R36" i="4"/>
  <c r="S59" i="4"/>
  <c r="S43" i="4"/>
  <c r="P28" i="4"/>
  <c r="R5" i="4"/>
  <c r="Q60" i="4"/>
  <c r="R59" i="4"/>
  <c r="Q19" i="4"/>
  <c r="Q18" i="4"/>
  <c r="Q52" i="4"/>
  <c r="S28" i="4"/>
  <c r="R54" i="4"/>
  <c r="Q40" i="4"/>
  <c r="S16" i="4"/>
  <c r="R30" i="4"/>
  <c r="Q28" i="4"/>
  <c r="K3" i="3"/>
  <c r="J4" i="3"/>
  <c r="J5" i="3" s="1"/>
  <c r="D2" i="3" a="1"/>
  <c r="D2" i="3" s="1"/>
  <c r="T35" i="4" l="1"/>
  <c r="T42" i="4"/>
  <c r="T27" i="4"/>
  <c r="T46" i="4"/>
  <c r="T6" i="4"/>
  <c r="T55" i="4"/>
  <c r="T44" i="4"/>
  <c r="T7" i="4"/>
  <c r="T9" i="4"/>
  <c r="T45" i="4"/>
  <c r="T40" i="4"/>
  <c r="T29" i="4"/>
  <c r="T16" i="4"/>
  <c r="U16" i="4" s="1"/>
  <c r="T57" i="4"/>
  <c r="T48" i="4"/>
  <c r="T3" i="4"/>
  <c r="T31" i="4"/>
  <c r="T47" i="4"/>
  <c r="T34" i="4"/>
  <c r="T21" i="4"/>
  <c r="U21" i="4" s="1"/>
  <c r="T24" i="4"/>
  <c r="U24" i="4" s="1"/>
  <c r="T22" i="4"/>
  <c r="U22" i="4" s="1"/>
  <c r="T20" i="4"/>
  <c r="U20" i="4" s="1"/>
  <c r="T61" i="4"/>
  <c r="T52" i="4"/>
  <c r="T37" i="4"/>
  <c r="T53" i="4"/>
  <c r="T49" i="4"/>
  <c r="T41" i="4"/>
  <c r="T62" i="4"/>
  <c r="T23" i="4"/>
  <c r="U23" i="4" s="1"/>
  <c r="T19" i="4"/>
  <c r="U19" i="4" s="1"/>
  <c r="T25" i="4"/>
  <c r="U25" i="4" s="1"/>
  <c r="T30" i="4"/>
  <c r="T38" i="4"/>
  <c r="T10" i="4"/>
  <c r="T39" i="4"/>
  <c r="T60" i="4"/>
  <c r="T18" i="4"/>
  <c r="U18" i="4" s="1"/>
  <c r="T17" i="4"/>
  <c r="U17" i="4" s="1"/>
  <c r="T56" i="4"/>
  <c r="T5" i="4"/>
  <c r="U5" i="4" s="1"/>
  <c r="T13" i="4"/>
  <c r="U13" i="4" s="1"/>
  <c r="T58" i="4"/>
  <c r="T32" i="4"/>
  <c r="T43" i="4"/>
  <c r="T14" i="4"/>
  <c r="U14" i="4" s="1"/>
  <c r="T8" i="4"/>
  <c r="T50" i="4"/>
  <c r="T4" i="4"/>
  <c r="T11" i="4"/>
  <c r="T54" i="4"/>
  <c r="T36" i="4"/>
  <c r="T12" i="4"/>
  <c r="U12" i="4" s="1"/>
  <c r="T15" i="4"/>
  <c r="U15" i="4" s="1"/>
  <c r="T26" i="4"/>
  <c r="T51" i="4"/>
  <c r="T28" i="4"/>
  <c r="T59" i="4"/>
  <c r="X4" i="4"/>
  <c r="J3" i="3"/>
  <c r="I4" i="3"/>
  <c r="I5" i="3" s="1"/>
  <c r="O9" i="2"/>
  <c r="O21" i="2"/>
  <c r="O33" i="2"/>
  <c r="O11" i="2"/>
  <c r="O14" i="2"/>
  <c r="O27" i="2"/>
  <c r="O16" i="2"/>
  <c r="O29" i="2"/>
  <c r="O30" i="2"/>
  <c r="O31" i="2"/>
  <c r="O32" i="2"/>
  <c r="O10" i="2"/>
  <c r="O22" i="2"/>
  <c r="O3" i="2"/>
  <c r="O23" i="2"/>
  <c r="O26" i="2"/>
  <c r="O4" i="2"/>
  <c r="O28" i="2"/>
  <c r="O17" i="2"/>
  <c r="O18" i="2"/>
  <c r="O7" i="2"/>
  <c r="O8" i="2"/>
  <c r="O12" i="2"/>
  <c r="O24" i="2"/>
  <c r="O13" i="2"/>
  <c r="O25" i="2"/>
  <c r="O15" i="2"/>
  <c r="O5" i="2"/>
  <c r="O6" i="2"/>
  <c r="O19" i="2"/>
  <c r="O20" i="2"/>
  <c r="E2" i="3"/>
  <c r="C14" i="5" l="1"/>
  <c r="X5" i="4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AC11" i="4" s="1"/>
  <c r="AB3" i="4"/>
  <c r="AD4" i="4"/>
  <c r="AD3" i="4"/>
  <c r="AC3" i="4"/>
  <c r="AE3" i="4"/>
  <c r="AB4" i="4"/>
  <c r="AE4" i="4"/>
  <c r="AC4" i="4"/>
  <c r="L4" i="3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AM4" i="3" s="1"/>
  <c r="AN4" i="3" s="1"/>
  <c r="AO4" i="3" s="1"/>
  <c r="AP4" i="3" s="1"/>
  <c r="AQ4" i="3" s="1"/>
  <c r="AR4" i="3" s="1"/>
  <c r="AS4" i="3" s="1"/>
  <c r="AT4" i="3" s="1"/>
  <c r="AU4" i="3" s="1"/>
  <c r="I3" i="3"/>
  <c r="H4" i="3"/>
  <c r="H5" i="3" s="1"/>
  <c r="AE5" i="4" l="1"/>
  <c r="AC6" i="4"/>
  <c r="AB11" i="4"/>
  <c r="AE8" i="4"/>
  <c r="AD7" i="4"/>
  <c r="AE10" i="4"/>
  <c r="AE16" i="4"/>
  <c r="AC8" i="4"/>
  <c r="AE9" i="4"/>
  <c r="AC7" i="4"/>
  <c r="AB7" i="4"/>
  <c r="AB12" i="4"/>
  <c r="AD15" i="4"/>
  <c r="AB17" i="4"/>
  <c r="AD14" i="4"/>
  <c r="AD12" i="4"/>
  <c r="AE20" i="4"/>
  <c r="AB14" i="4"/>
  <c r="AE14" i="4"/>
  <c r="AC15" i="4"/>
  <c r="AC13" i="4"/>
  <c r="AC14" i="4"/>
  <c r="AD17" i="4"/>
  <c r="AE11" i="4"/>
  <c r="AB10" i="4"/>
  <c r="AC10" i="4"/>
  <c r="AB8" i="4"/>
  <c r="AE13" i="4"/>
  <c r="AE7" i="4"/>
  <c r="AD9" i="4"/>
  <c r="AB13" i="4"/>
  <c r="AB6" i="4"/>
  <c r="AD10" i="4"/>
  <c r="AE6" i="4"/>
  <c r="AC16" i="4"/>
  <c r="AB9" i="4"/>
  <c r="AD16" i="4"/>
  <c r="AD11" i="4"/>
  <c r="AD5" i="4"/>
  <c r="AE15" i="4"/>
  <c r="AC17" i="4"/>
  <c r="AB16" i="4"/>
  <c r="AB5" i="4"/>
  <c r="AE17" i="4"/>
  <c r="AB15" i="4"/>
  <c r="AC5" i="4"/>
  <c r="AD6" i="4"/>
  <c r="AC9" i="4"/>
  <c r="AC12" i="4"/>
  <c r="AE12" i="4"/>
  <c r="AD13" i="4"/>
  <c r="AD8" i="4"/>
  <c r="AB22" i="4"/>
  <c r="AE21" i="4"/>
  <c r="AC20" i="4"/>
  <c r="AE18" i="4"/>
  <c r="AE19" i="4"/>
  <c r="AE22" i="4"/>
  <c r="AC22" i="4"/>
  <c r="AC21" i="4"/>
  <c r="AD19" i="4"/>
  <c r="AB18" i="4"/>
  <c r="AD20" i="4"/>
  <c r="AB19" i="4"/>
  <c r="AD21" i="4"/>
  <c r="AC19" i="4"/>
  <c r="AD22" i="4"/>
  <c r="AB21" i="4"/>
  <c r="AC18" i="4"/>
  <c r="AD18" i="4"/>
  <c r="AB20" i="4"/>
  <c r="H3" i="3"/>
  <c r="G4" i="3"/>
  <c r="F4" i="3" s="1"/>
  <c r="L5" i="3"/>
  <c r="M3" i="3"/>
  <c r="L3" i="3"/>
  <c r="G3" i="3"/>
  <c r="G5" i="3"/>
  <c r="F14" i="5" l="1" a="1"/>
  <c r="F14" i="5" s="1"/>
  <c r="AV4" i="3"/>
  <c r="M5" i="3"/>
  <c r="N3" i="3" l="1"/>
  <c r="O5" i="3"/>
  <c r="N5" i="3"/>
  <c r="P5" i="3"/>
  <c r="O3" i="3"/>
  <c r="P3" i="3" l="1"/>
  <c r="Q5" i="3" l="1"/>
  <c r="R5" i="3"/>
  <c r="Q3" i="3"/>
  <c r="R3" i="3" l="1"/>
  <c r="S5" i="3" l="1"/>
  <c r="T5" i="3"/>
  <c r="S3" i="3"/>
  <c r="U5" i="3" l="1"/>
  <c r="T3" i="3"/>
  <c r="V5" i="3" l="1"/>
  <c r="U3" i="3"/>
  <c r="W5" i="3" l="1"/>
  <c r="V3" i="3"/>
  <c r="X5" i="3" l="1"/>
  <c r="W3" i="3"/>
  <c r="Y5" i="3" l="1"/>
  <c r="X3" i="3"/>
  <c r="Z5" i="3" l="1"/>
  <c r="Y3" i="3"/>
  <c r="AA5" i="3" l="1"/>
  <c r="Z3" i="3"/>
  <c r="AB5" i="3" l="1"/>
  <c r="AA3" i="3"/>
  <c r="AC5" i="3" l="1"/>
  <c r="AB3" i="3"/>
  <c r="AD5" i="3" l="1"/>
  <c r="AC3" i="3"/>
  <c r="AE5" i="3" l="1"/>
  <c r="AD3" i="3"/>
  <c r="AF5" i="3" l="1"/>
  <c r="AE3" i="3"/>
  <c r="AG5" i="3" l="1"/>
  <c r="AF3" i="3"/>
  <c r="AH5" i="3" l="1"/>
  <c r="AG3" i="3"/>
  <c r="AI5" i="3" l="1"/>
  <c r="AH3" i="3"/>
  <c r="AJ5" i="3" l="1"/>
  <c r="AI3" i="3"/>
  <c r="AK5" i="3" l="1"/>
  <c r="AJ3" i="3"/>
  <c r="AL5" i="3" l="1"/>
  <c r="AK3" i="3"/>
  <c r="AM5" i="3" l="1"/>
  <c r="AL3" i="3"/>
  <c r="AN5" i="3" l="1"/>
  <c r="AM3" i="3"/>
  <c r="AO5" i="3" l="1"/>
  <c r="AN3" i="3"/>
  <c r="AP5" i="3" l="1"/>
  <c r="AO3" i="3"/>
  <c r="AQ5" i="3" l="1"/>
  <c r="AP3" i="3"/>
  <c r="AR5" i="3" l="1"/>
  <c r="AQ3" i="3"/>
  <c r="AS5" i="3" l="1"/>
  <c r="AR3" i="3"/>
  <c r="AT5" i="3" l="1"/>
  <c r="AS3" i="3"/>
  <c r="AT3" i="3" l="1"/>
  <c r="AU5" i="3" l="1"/>
  <c r="AU3" i="3"/>
  <c r="AV3" i="3" l="1"/>
  <c r="AV5" i="3"/>
  <c r="F3" i="3" l="1"/>
  <c r="F5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<sst xmlns="http://schemas.openxmlformats.org/spreadsheetml/2006/main" count="236" uniqueCount="102">
  <si>
    <t>A</t>
  </si>
  <si>
    <t>B</t>
  </si>
  <si>
    <t>A1</t>
  </si>
  <si>
    <t>B1</t>
  </si>
  <si>
    <t>C1</t>
  </si>
  <si>
    <t>A2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</si>
  <si>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</si>
  <si>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</si>
  <si>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</si>
  <si>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</si>
  <si>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</si>
  <si>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</si>
  <si>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</si>
  <si>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</si>
  <si>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</si>
  <si>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C2</t>
  </si>
  <si>
    <t>C1-1</t>
  </si>
  <si>
    <t>C1-2</t>
  </si>
  <si>
    <t>C1-3</t>
  </si>
  <si>
    <t>C1-4</t>
  </si>
  <si>
    <t>C1-5</t>
  </si>
  <si>
    <t>C1-6</t>
  </si>
  <si>
    <t>C1-7</t>
  </si>
  <si>
    <t>C1-8</t>
  </si>
  <si>
    <t>C1-9</t>
  </si>
  <si>
    <t>C1-10</t>
  </si>
  <si>
    <t>C1-11</t>
  </si>
  <si>
    <t>C1-12</t>
  </si>
  <si>
    <t>C2-1</t>
  </si>
  <si>
    <t>C2-2</t>
  </si>
  <si>
    <t>C2-3</t>
  </si>
  <si>
    <t>C2-4</t>
  </si>
  <si>
    <t>C2-5</t>
  </si>
  <si>
    <t>C2-6</t>
  </si>
  <si>
    <t>C2-7</t>
  </si>
  <si>
    <t>C2-8</t>
  </si>
  <si>
    <t>C2-9</t>
  </si>
  <si>
    <t>C2-10</t>
  </si>
  <si>
    <t>C2-11</t>
  </si>
  <si>
    <t>C2-12</t>
  </si>
  <si>
    <t>Room Type</t>
  </si>
  <si>
    <t>C_1</t>
  </si>
  <si>
    <t>C_2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</si>
  <si>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</si>
  <si>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</si>
  <si>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</si>
  <si>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</si>
  <si>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</si>
  <si>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</si>
  <si>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</si>
  <si>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</si>
  <si>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</si>
  <si>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</si>
  <si>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</si>
  <si>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</si>
  <si>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</si>
  <si>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</t>
  </si>
  <si>
    <t>Monday</t>
  </si>
  <si>
    <t>Tuesday</t>
  </si>
  <si>
    <t>Wednesday</t>
  </si>
  <si>
    <t>Thursday</t>
  </si>
  <si>
    <t>Friday</t>
  </si>
  <si>
    <t>Saturday</t>
  </si>
  <si>
    <t>Sunday</t>
  </si>
  <si>
    <t>Date</t>
  </si>
  <si>
    <t>Room</t>
  </si>
  <si>
    <t>BedType</t>
  </si>
  <si>
    <t>KingBed</t>
  </si>
  <si>
    <t>SingleBed</t>
  </si>
  <si>
    <t>TwinBed</t>
  </si>
  <si>
    <t>DoubleBed</t>
  </si>
  <si>
    <t>Year</t>
  </si>
  <si>
    <t>DinM</t>
  </si>
  <si>
    <t>Check-in</t>
  </si>
  <si>
    <t>Check-out</t>
  </si>
  <si>
    <t>Duration</t>
  </si>
  <si>
    <t>Bed Type</t>
  </si>
  <si>
    <t>Name</t>
  </si>
  <si>
    <t>Tel</t>
  </si>
  <si>
    <t>Room No</t>
  </si>
  <si>
    <t>Status Room</t>
  </si>
  <si>
    <t>Confirm Information</t>
  </si>
  <si>
    <t>123-456</t>
  </si>
  <si>
    <t>Beer</t>
  </si>
  <si>
    <t>Dup value</t>
  </si>
  <si>
    <t>Dup date</t>
  </si>
  <si>
    <t>Check in</t>
  </si>
  <si>
    <t>Check out</t>
  </si>
  <si>
    <t>Check Month</t>
  </si>
  <si>
    <t>Final</t>
  </si>
  <si>
    <t>inrage</t>
  </si>
  <si>
    <t>timein</t>
  </si>
  <si>
    <t>timeout</t>
  </si>
  <si>
    <t>overlap</t>
  </si>
  <si>
    <t>Status</t>
  </si>
  <si>
    <t>Format Date</t>
  </si>
  <si>
    <t>Count</t>
  </si>
  <si>
    <t>No</t>
  </si>
  <si>
    <t>Sum of Duration</t>
  </si>
  <si>
    <t>Grand Total</t>
  </si>
  <si>
    <t>Data Base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</si>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</sst>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9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ADF2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16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textRotation="90"/>
    </xf>
    <xf numFmtId="0" fontId="3" fillId="0" borderId="0" xfId="0" applyFont="1"/>
    <xf numFmtId="0" fontId="0" fillId="0" borderId="0" xfId="0" applyAlignment="1">
      <alignment textRotation="255"/>
    </xf>
    <xf numFmtId="0" fontId="4" fillId="0" borderId="0" xfId="0" applyFont="1" applyAlignment="1">
      <alignment textRotation="90"/>
    </xf>
    <xf numFmtId="0" fontId="4" fillId="0" borderId="0" xfId="0" applyFont="1"/>
    <xf numFmtId="0" fontId="4" fillId="0" borderId="0" xfId="0" applyFont="1" applyAlignment="1">
      <alignment textRotation="255"/>
    </xf>
    <xf numFmtId="0" fontId="4" fillId="0" borderId="0" xfId="0" applyFont="1" applyAlignment="1">
      <alignment horizontal="center"/>
    </xf>
    <xf numFmtId="14" fontId="5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14" fontId="8" fillId="5" borderId="1" xfId="0" applyNumberFormat="1" applyFont="1" applyFill="1" applyBorder="1" applyAlignment="1">
      <alignment horizontal="center"/>
    </xf>
    <xf numFmtId="14" fontId="0" fillId="0" borderId="0" xfId="0" applyNumberFormat="1" applyAlignment="1">
      <alignment textRotation="90"/>
    </xf>
    <xf numFmtId="0" fontId="10" fillId="0" borderId="0" xfId="0" applyFont="1"/>
    <xf numFmtId="0" fontId="11" fillId="0" borderId="0" xfId="0" applyFont="1"/>
    <xf numFmtId="14" fontId="8" fillId="6" borderId="1" xfId="0" applyNumberFormat="1" applyFont="1" applyFill="1" applyBorder="1"/>
    <xf numFmtId="0" fontId="0" fillId="0" borderId="0" xfId="0" quotePrefix="1"/>
    <xf numFmtId="0" fontId="8" fillId="9" borderId="1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0" borderId="5" xfId="0" applyBorder="1"/>
    <xf numFmtId="0" fontId="0" fillId="0" borderId="5" xfId="0" applyBorder="1" applyAlignment="1">
      <alignment textRotation="90"/>
    </xf>
    <xf numFmtId="0" fontId="0" fillId="0" borderId="6" xfId="0" applyBorder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14" fontId="0" fillId="12" borderId="0" xfId="0" applyNumberFormat="1" applyFill="1" applyAlignment="1">
      <alignment horizontal="center"/>
    </xf>
    <xf numFmtId="14" fontId="0" fillId="13" borderId="0" xfId="0" applyNumberFormat="1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14" fontId="9" fillId="4" borderId="1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14" fontId="0" fillId="15" borderId="0" xfId="0" applyNumberForma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9" borderId="0" xfId="0" applyFill="1"/>
    <xf numFmtId="14" fontId="0" fillId="0" borderId="8" xfId="0" applyNumberFormat="1" applyBorder="1" applyAlignment="1">
      <alignment textRotation="90"/>
    </xf>
    <xf numFmtId="14" fontId="0" fillId="0" borderId="9" xfId="0" applyNumberFormat="1" applyBorder="1" applyAlignment="1">
      <alignment textRotation="90"/>
    </xf>
    <xf numFmtId="14" fontId="0" fillId="0" borderId="10" xfId="0" applyNumberFormat="1" applyBorder="1" applyAlignment="1">
      <alignment horizontal="center"/>
    </xf>
    <xf numFmtId="0" fontId="0" fillId="0" borderId="7" xfId="0" applyBorder="1"/>
    <xf numFmtId="0" fontId="0" fillId="0" borderId="7" xfId="0" applyBorder="1" applyAlignment="1">
      <alignment textRotation="90"/>
    </xf>
    <xf numFmtId="14" fontId="15" fillId="4" borderId="11" xfId="0" applyNumberFormat="1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0" fillId="0" borderId="0" xfId="0" pivotButton="1"/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/>
    <xf numFmtId="0" fontId="10" fillId="16" borderId="0" xfId="0" applyFont="1" applyFill="1"/>
    <xf numFmtId="0" fontId="1" fillId="16" borderId="0" xfId="0" applyFont="1" applyFill="1" applyAlignment="1">
      <alignment horizontal="center"/>
    </xf>
    <xf numFmtId="0" fontId="8" fillId="16" borderId="0" xfId="0" applyFont="1" applyFill="1" applyAlignment="1">
      <alignment horizontal="center"/>
    </xf>
    <xf numFmtId="0" fontId="1" fillId="8" borderId="12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14" fontId="8" fillId="3" borderId="14" xfId="0" applyNumberFormat="1" applyFont="1" applyFill="1" applyBorder="1" applyAlignment="1">
      <alignment horizontal="center"/>
    </xf>
    <xf numFmtId="0" fontId="8" fillId="7" borderId="14" xfId="0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6" borderId="13" xfId="0" applyFont="1" applyFill="1" applyBorder="1" applyAlignment="1">
      <alignment horizontal="center"/>
    </xf>
    <xf numFmtId="0" fontId="8" fillId="18" borderId="12" xfId="0" applyFont="1" applyFill="1" applyBorder="1" applyAlignment="1">
      <alignment horizontal="center"/>
    </xf>
    <xf numFmtId="0" fontId="8" fillId="19" borderId="1" xfId="0" quotePrefix="1" applyFont="1" applyFill="1" applyBorder="1" applyAlignment="1">
      <alignment horizontal="center"/>
    </xf>
    <xf numFmtId="0" fontId="8" fillId="19" borderId="1" xfId="0" applyFont="1" applyFill="1" applyBorder="1" applyAlignment="1">
      <alignment horizontal="center"/>
    </xf>
    <xf numFmtId="14" fontId="7" fillId="3" borderId="8" xfId="0" applyNumberFormat="1" applyFont="1" applyFill="1" applyBorder="1" applyAlignment="1">
      <alignment horizontal="center" vertical="center"/>
    </xf>
    <xf numFmtId="14" fontId="7" fillId="3" borderId="0" xfId="0" applyNumberFormat="1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14" fontId="16" fillId="14" borderId="0" xfId="0" applyNumberFormat="1" applyFont="1" applyFill="1" applyAlignment="1">
      <alignment horizontal="center"/>
    </xf>
    <xf numFmtId="0" fontId="14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3">
    <dxf>
      <font>
        <color theme="0" tint="-0.14996795556505021"/>
      </font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5" tint="0.39994506668294322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CC"/>
      <color rgb="FF9999FF"/>
      <color rgb="FF33CCFF"/>
      <color rgb="FFFF66CC"/>
      <color rgb="FF3ADF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[New Project.xlsm]Pivot!PivotTable2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b="1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5000">
                <a:schemeClr val="accent5">
                  <a:lumMod val="7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Pivot!$C$4:$C$5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5000">
                  <a:schemeClr val="accent5">
                    <a:lumMod val="7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Pivot!$B$6:$B$19</c:f>
              <c:strCache>
                <c:ptCount val="13"/>
                <c:pt idx="0">
                  <c:v>C1-1</c:v>
                </c:pt>
                <c:pt idx="1">
                  <c:v>C1-10</c:v>
                </c:pt>
                <c:pt idx="2">
                  <c:v>C1-11</c:v>
                </c:pt>
                <c:pt idx="3">
                  <c:v>C1-2</c:v>
                </c:pt>
                <c:pt idx="4">
                  <c:v>C1-3</c:v>
                </c:pt>
                <c:pt idx="5">
                  <c:v>C1-4</c:v>
                </c:pt>
                <c:pt idx="6">
                  <c:v>C1-7</c:v>
                </c:pt>
                <c:pt idx="7">
                  <c:v>B3</c:v>
                </c:pt>
                <c:pt idx="8">
                  <c:v>B6</c:v>
                </c:pt>
                <c:pt idx="9">
                  <c:v>B8</c:v>
                </c:pt>
                <c:pt idx="10">
                  <c:v>B2</c:v>
                </c:pt>
                <c:pt idx="11">
                  <c:v>B10</c:v>
                </c:pt>
                <c:pt idx="12">
                  <c:v>B7</c:v>
                </c:pt>
              </c:strCache>
            </c:strRef>
          </c:cat>
          <c:val>
            <c:numRef>
              <c:f>Pivot!$C$6:$C$19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24</c:v>
                </c:pt>
                <c:pt idx="4">
                  <c:v>15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1-4BBA-84E4-B6AD069A95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41560703"/>
        <c:axId val="684907135"/>
      </c:barChart>
      <c:catAx>
        <c:axId val="184156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907135"/>
        <c:crosses val="autoZero"/>
        <c:auto val="1"/>
        <c:lblAlgn val="ctr"/>
        <c:lblOffset val="100"/>
        <c:noMultiLvlLbl val="0"/>
      </c:catAx>
      <c:valAx>
        <c:axId val="6849071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4156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365760</xdr:colOff>
      <xdr:row>2</xdr:row>
      <xdr:rowOff>156210</xdr:rowOff>
    </xdr:from>
    <xdr:to>
      <xdr:col>13</xdr:col>
      <xdr:colOff>60960</xdr:colOff>
      <xdr:row>17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27289C-3709-812D-59A9-15FA3D33A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281940</xdr:colOff>
      <xdr:row>1</xdr:row>
      <xdr:rowOff>38100</xdr:rowOff>
    </xdr:from>
    <xdr:to>
      <xdr:col>1</xdr:col>
      <xdr:colOff>426720</xdr:colOff>
      <xdr:row>2</xdr:row>
      <xdr:rowOff>167640</xdr:rowOff>
    </xdr:to>
    <xdr:sp macro="[0]!clearDB" textlink="">
      <xdr:nvSpPr>
        <xdr:cNvPr id="2" name="Rectangle 1">
          <a:extLst>
            <a:ext uri="{FF2B5EF4-FFF2-40B4-BE49-F238E27FC236}">
              <a16:creationId xmlns:a16="http://schemas.microsoft.com/office/drawing/2014/main" id="{E0F8C05C-7D02-106C-9718-069422E8A930}"/>
            </a:ext>
          </a:extLst>
        </xdr:cNvPr>
        <xdr:cNvSpPr/>
      </xdr:nvSpPr>
      <xdr:spPr>
        <a:xfrm>
          <a:off x="281940" y="220980"/>
          <a:ext cx="754380" cy="312420"/>
        </a:xfrm>
        <a:prstGeom prst="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sunrise" dir="t"/>
        </a:scene3d>
        <a:sp3d extrusionH="76200" contourW="12700" prstMaterial="dkEdge">
          <a:bevelT w="165100" prst="coolSlant"/>
          <a:bevelB prst="slope"/>
          <a:extrusionClr>
            <a:schemeClr val="accent2">
              <a:lumMod val="50000"/>
            </a:schemeClr>
          </a:extrusionClr>
          <a:contourClr>
            <a:schemeClr val="accent2">
              <a:lumMod val="7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Delete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166645</xdr:colOff>
      <xdr:row>7</xdr:row>
      <xdr:rowOff>96742</xdr:rowOff>
    </xdr:from>
    <xdr:to>
      <xdr:col>12</xdr:col>
      <xdr:colOff>867685</xdr:colOff>
      <xdr:row>9</xdr:row>
      <xdr:rowOff>66261</xdr:rowOff>
    </xdr:to>
    <xdr:sp macro="[0]!senddata" textlink="">
      <xdr:nvSpPr>
        <xdr:cNvPr id="2" name="Rectangle 1">
          <a:extLst>
            <a:ext uri="{FF2B5EF4-FFF2-40B4-BE49-F238E27FC236}">
              <a16:creationId xmlns:a16="http://schemas.microsoft.com/office/drawing/2014/main" id="{97C2116B-9718-9FC2-0071-4C8151D0CF85}"/>
            </a:ext>
          </a:extLst>
        </xdr:cNvPr>
        <xdr:cNvSpPr/>
      </xdr:nvSpPr>
      <xdr:spPr>
        <a:xfrm>
          <a:off x="8628158" y="1382203"/>
          <a:ext cx="701040" cy="340580"/>
        </a:xfrm>
        <a:prstGeom prst="rect">
          <a:avLst/>
        </a:prstGeom>
        <a:solidFill>
          <a:srgbClr val="3ADF29"/>
        </a:solidFill>
        <a:scene3d>
          <a:camera prst="orthographicFront"/>
          <a:lightRig rig="sunset" dir="t"/>
        </a:scene3d>
        <a:sp3d extrusionH="76200" contourW="12700" prstMaterial="metal">
          <a:bevelT w="165100" prst="coolSlant"/>
          <a:bevelB/>
          <a:extrusionClr>
            <a:schemeClr val="bg2">
              <a:lumMod val="75000"/>
            </a:schemeClr>
          </a:extrusionClr>
          <a:contourClr>
            <a:schemeClr val="bg1">
              <a:lumMod val="7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Booking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on Teeramat" refreshedDate="45198.730702546294" createdVersion="8" refreshedVersion="8" minRefreshableVersion="3" recordCount="22" xr:uid="{144B55A1-3B4F-499E-AEBA-3060A8461318}">
  <cacheSource type="worksheet">
    <worksheetSource name="_xlnm.Database"/>
  </cacheSource>
  <cacheFields count="9">
    <cacheField name="Check-in" numFmtId="0">
      <sharedItems/>
    </cacheField>
    <cacheField name="Check-out" numFmtId="0">
      <sharedItems/>
    </cacheField>
    <cacheField name="Duration" numFmtId="0">
      <sharedItems containsSemiMixedTypes="0" containsString="0" containsNumber="1" containsInteger="1" minValue="1" maxValue="10" count="4">
        <n v="2"/>
        <n v="7"/>
        <n v="10"/>
        <n v="1"/>
      </sharedItems>
    </cacheField>
    <cacheField name="Room Type" numFmtId="14">
      <sharedItems/>
    </cacheField>
    <cacheField name="Room No" numFmtId="0">
      <sharedItems count="13">
        <s v="C1-10"/>
        <s v="C1-4"/>
        <s v="C1-3"/>
        <s v="C1-2"/>
        <s v="C1-11"/>
        <s v="C1-7"/>
        <s v="C1-1"/>
        <s v="B3"/>
        <s v="B6"/>
        <s v="B8"/>
        <s v="B2"/>
        <s v="B10"/>
        <s v="B7"/>
      </sharedItems>
    </cacheField>
    <cacheField name="Bed Type" numFmtId="0">
      <sharedItems/>
    </cacheField>
    <cacheField name="Name" numFmtId="0">
      <sharedItems/>
    </cacheField>
    <cacheField name="Tel" numFmtId="0">
      <sharedItems/>
    </cacheField>
    <cacheField name="Month" numFmtId="0">
      <sharedItems containsSemiMixedTypes="0" containsString="0" containsNumber="1" containsInteger="1" minValue="6" maxValue="9" count="2">
        <n v="9"/>
        <n v="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10-09-23"/>
    <s v="12-09-23"/>
    <x v="0"/>
    <s v="C_1"/>
    <x v="0"/>
    <s v="TwinBed"/>
    <s v="Beer"/>
    <s v="123-456"/>
    <x v="0"/>
  </r>
  <r>
    <s v="10-09-23"/>
    <s v="12-09-23"/>
    <x v="0"/>
    <s v="C_1"/>
    <x v="1"/>
    <s v="TwinBed"/>
    <s v="Beer"/>
    <s v="123-456"/>
    <x v="0"/>
  </r>
  <r>
    <s v="05-09-23"/>
    <s v="12-09-23"/>
    <x v="1"/>
    <s v="C_1"/>
    <x v="2"/>
    <s v="TwinBed"/>
    <s v="Beer"/>
    <s v="123-456"/>
    <x v="0"/>
  </r>
  <r>
    <s v="05-09-23"/>
    <s v="12-09-23"/>
    <x v="1"/>
    <s v="C_1"/>
    <x v="3"/>
    <s v="TwinBed"/>
    <s v="Beer"/>
    <s v="123-456"/>
    <x v="0"/>
  </r>
  <r>
    <s v="05-09-23"/>
    <s v="15-09-23"/>
    <x v="2"/>
    <s v="C_1"/>
    <x v="3"/>
    <s v="TwinBed"/>
    <s v="Beer"/>
    <s v="123-456"/>
    <x v="0"/>
  </r>
  <r>
    <s v="05-09-23"/>
    <s v="07-09-23"/>
    <x v="0"/>
    <s v="C_1"/>
    <x v="4"/>
    <s v="TwinBed"/>
    <s v="Beer"/>
    <s v="123-456"/>
    <x v="0"/>
  </r>
  <r>
    <s v="01-09-23"/>
    <s v="03-09-23"/>
    <x v="0"/>
    <s v="C_1"/>
    <x v="5"/>
    <s v="TwinBed"/>
    <s v="Beer"/>
    <s v="123-456"/>
    <x v="0"/>
  </r>
  <r>
    <s v="25-09-23"/>
    <s v="27-09-23"/>
    <x v="0"/>
    <s v="C_1"/>
    <x v="6"/>
    <s v="TwinBed"/>
    <s v="Beer"/>
    <s v="123-456"/>
    <x v="0"/>
  </r>
  <r>
    <s v="06-09-23"/>
    <s v="13-09-23"/>
    <x v="1"/>
    <s v="C_1"/>
    <x v="3"/>
    <s v="TwinBed"/>
    <s v="Beer"/>
    <s v="123-456"/>
    <x v="0"/>
  </r>
  <r>
    <s v="06-09-23"/>
    <s v="13-09-23"/>
    <x v="1"/>
    <s v="C_1"/>
    <x v="2"/>
    <s v="TwinBed"/>
    <s v="Beer"/>
    <s v="123-456"/>
    <x v="0"/>
  </r>
  <r>
    <s v="03-06-24"/>
    <s v="04-06-24"/>
    <x v="3"/>
    <s v="C_1"/>
    <x v="2"/>
    <s v="TwinBed"/>
    <s v="Beer"/>
    <s v="123-456"/>
    <x v="1"/>
  </r>
  <r>
    <s v="05-09-23"/>
    <s v="06-09-23"/>
    <x v="3"/>
    <s v="C_1"/>
    <x v="5"/>
    <s v="TwinBed"/>
    <s v="Beer"/>
    <s v="123-456"/>
    <x v="0"/>
  </r>
  <r>
    <s v="05-09-23"/>
    <s v="06-09-23"/>
    <x v="3"/>
    <s v="C_1"/>
    <x v="0"/>
    <s v="TwinBed"/>
    <s v="Beer"/>
    <s v="123-456"/>
    <x v="0"/>
  </r>
  <r>
    <s v="05-09-23"/>
    <s v="06-09-23"/>
    <x v="3"/>
    <s v="B"/>
    <x v="7"/>
    <s v="SingleBed"/>
    <s v="Beer"/>
    <s v="123-456"/>
    <x v="0"/>
  </r>
  <r>
    <s v="05-09-23"/>
    <s v="06-09-23"/>
    <x v="3"/>
    <s v="B"/>
    <x v="8"/>
    <s v="SingleBed"/>
    <s v="Beer"/>
    <s v="123-456"/>
    <x v="0"/>
  </r>
  <r>
    <s v="05-09-23"/>
    <s v="06-09-23"/>
    <x v="3"/>
    <s v="B"/>
    <x v="9"/>
    <s v="SingleBed"/>
    <s v="Beer"/>
    <s v="123-456"/>
    <x v="0"/>
  </r>
  <r>
    <s v="05-09-23"/>
    <s v="06-09-23"/>
    <x v="3"/>
    <s v="B"/>
    <x v="10"/>
    <s v="SingleBed"/>
    <s v="Beer"/>
    <s v="123-456"/>
    <x v="0"/>
  </r>
  <r>
    <s v="10-09-23"/>
    <s v="11-09-23"/>
    <x v="3"/>
    <s v="B"/>
    <x v="10"/>
    <s v="SingleBed"/>
    <s v="Beer"/>
    <s v="123-456"/>
    <x v="0"/>
  </r>
  <r>
    <s v="10-09-23"/>
    <s v="11-09-23"/>
    <x v="3"/>
    <s v="B"/>
    <x v="8"/>
    <s v="SingleBed"/>
    <s v="Beer"/>
    <s v="123-456"/>
    <x v="0"/>
  </r>
  <r>
    <s v="10-09-23"/>
    <s v="11-09-23"/>
    <x v="3"/>
    <s v="B"/>
    <x v="11"/>
    <s v="SingleBed"/>
    <s v="Beer"/>
    <s v="123-456"/>
    <x v="0"/>
  </r>
  <r>
    <s v="10-09-23"/>
    <s v="11-09-23"/>
    <x v="3"/>
    <s v="B"/>
    <x v="9"/>
    <s v="SingleBed"/>
    <s v="Beer"/>
    <s v="123-456"/>
    <x v="0"/>
  </r>
  <r>
    <s v="10-09-23"/>
    <s v="11-09-23"/>
    <x v="3"/>
    <s v="B"/>
    <x v="12"/>
    <s v="SingleBed"/>
    <s v="Beer"/>
    <s v="123-45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81806E-56AC-46F3-A7C9-F7E0ECE8ADE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compact="0" compactData="0" gridDropZones="1" multipleFieldFilters="0" chartFormat="1">
  <location ref="B4:C19" firstHeaderRow="2" firstDataRow="2" firstDataCol="1"/>
  <pivotFields count="9">
    <pivotField compact="0" outline="0" showAll="0"/>
    <pivotField compact="0" outline="0" showAll="0"/>
    <pivotField dataField="1" compact="0" outline="0" showAll="0">
      <items count="5">
        <item x="3"/>
        <item x="0"/>
        <item x="1"/>
        <item x="2"/>
        <item t="default"/>
      </items>
    </pivotField>
    <pivotField compact="0" outline="0" showAll="0"/>
    <pivotField axis="axisRow" compact="0" outline="0" showAll="0">
      <items count="14">
        <item x="6"/>
        <item x="0"/>
        <item x="4"/>
        <item x="3"/>
        <item x="2"/>
        <item x="1"/>
        <item x="5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3">
        <item x="1"/>
        <item x="0"/>
        <item t="default"/>
      </items>
    </pivotField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Duration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8</v>
    <v>1</v>
  </rv>
  <rv s="1">
    <v>0</v>
    <v>8</v>
    <v>59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24CB92-E0C9-4FB9-B2EC-0E616728C51B}" name="DataBase" displayName="DataBase" ref="C2:K25" totalsRowShown="0" headerRowDxfId="15" dataDxfId="13" headerRowBorderDxfId="14" tableBorderDxfId="12">
  <autoFilter ref="C2:K25" xr:uid="{2B24CB92-E0C9-4FB9-B2EC-0E616728C51B}"/>
  <tableColumns count="9">
    <tableColumn id="1" xr3:uid="{E0A7D6F9-B962-470D-8EBC-64031B6FCE9E}" name="Check-in" dataDxfId="11"/>
    <tableColumn id="2" xr3:uid="{40BCAC23-E221-40C2-9729-1515E4E20A69}" name="Check-out" dataDxfId="10"/>
    <tableColumn id="3" xr3:uid="{9653BFAC-82A3-4D01-ACD6-7E933186A4A9}" name="Duration" dataDxfId="9"/>
    <tableColumn id="4" xr3:uid="{420A7528-C587-4A8F-9FFE-1070AC34D917}" name="Room Type" dataDxfId="8"/>
    <tableColumn id="5" xr3:uid="{6029CDF3-0F48-4B8F-84E4-DB76525CC300}" name="Room No" dataDxfId="7"/>
    <tableColumn id="6" xr3:uid="{23808921-3039-4466-95F9-A5B672EB33B6}" name="Bed Type" dataDxfId="6"/>
    <tableColumn id="7" xr3:uid="{8FD182DD-2088-4BE4-A5BA-C9E34654BEDD}" name="Name" dataDxfId="5"/>
    <tableColumn id="8" xr3:uid="{0161C3B0-3610-438F-8DFE-C86F6E98624C}" name="Tel" dataDxfId="4"/>
    <tableColumn id="9" xr3:uid="{65309AE7-5E7A-45CB-9291-83A68C28F9F6}" name="Month" dataDxfId="3">
      <calculatedColumnFormula>MONTH(DataBase[[#This Row],[Check-in]])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1FE6-4E33-44A7-8902-8FA4993EE1E3}">
  <sheetPr codeName="Sheet1"/>
  <dimension ref="B4:S33"/>
  <sheetViews>
    <sheetView workbookViewId="0">
      <selection activeCell="H19" sqref="H19"/>
    </sheetView>
  </sheetViews>
  <sheetFormatPr defaultRowHeight="14.4" x14ac:dyDescent="0.3"/>
  <sheetData>
    <row r="4" spans="2:19" x14ac:dyDescent="0.3">
      <c r="B4" s="1">
        <v>45170</v>
      </c>
      <c r="G4" t="s">
        <v>0</v>
      </c>
      <c r="H4" t="s">
        <v>2</v>
      </c>
      <c r="I4" t="s">
        <v>5</v>
      </c>
    </row>
    <row r="5" spans="2:19" x14ac:dyDescent="0.3">
      <c r="B5" s="1">
        <v>45171</v>
      </c>
      <c r="G5" t="s">
        <v>1</v>
      </c>
      <c r="H5" t="s">
        <v>3</v>
      </c>
      <c r="I5" t="s">
        <v>6</v>
      </c>
      <c r="J5" t="s">
        <v>7</v>
      </c>
      <c r="K5" t="s">
        <v>8</v>
      </c>
      <c r="L5" t="s">
        <v>9</v>
      </c>
      <c r="M5" t="s">
        <v>10</v>
      </c>
      <c r="N5" t="s">
        <v>11</v>
      </c>
      <c r="O5" t="s">
        <v>12</v>
      </c>
      <c r="P5" t="s">
        <v>13</v>
      </c>
      <c r="Q5" t="s">
        <v>14</v>
      </c>
    </row>
    <row r="6" spans="2:19" x14ac:dyDescent="0.3">
      <c r="B6" s="1">
        <v>45172</v>
      </c>
      <c r="G6" t="s">
        <v>4</v>
      </c>
      <c r="H6" t="s">
        <v>16</v>
      </c>
      <c r="I6" t="s">
        <v>17</v>
      </c>
      <c r="J6" t="s">
        <v>18</v>
      </c>
      <c r="K6" t="s">
        <v>19</v>
      </c>
      <c r="L6" t="s">
        <v>20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  <c r="R6" t="s">
        <v>26</v>
      </c>
      <c r="S6" t="s">
        <v>27</v>
      </c>
    </row>
    <row r="7" spans="2:19" x14ac:dyDescent="0.3">
      <c r="B7" s="1">
        <v>45173</v>
      </c>
      <c r="G7" t="s">
        <v>15</v>
      </c>
      <c r="H7" t="s">
        <v>28</v>
      </c>
      <c r="I7" t="s">
        <v>29</v>
      </c>
      <c r="J7" t="s">
        <v>30</v>
      </c>
      <c r="K7" t="s">
        <v>31</v>
      </c>
      <c r="L7" t="s">
        <v>32</v>
      </c>
      <c r="M7" t="s">
        <v>33</v>
      </c>
      <c r="N7" t="s">
        <v>34</v>
      </c>
      <c r="O7" t="s">
        <v>35</v>
      </c>
      <c r="P7" t="s">
        <v>36</v>
      </c>
      <c r="Q7" t="s">
        <v>37</v>
      </c>
      <c r="R7" t="s">
        <v>38</v>
      </c>
      <c r="S7" t="s">
        <v>39</v>
      </c>
    </row>
    <row r="8" spans="2:19" x14ac:dyDescent="0.3">
      <c r="B8" s="1">
        <v>45174</v>
      </c>
    </row>
    <row r="9" spans="2:19" x14ac:dyDescent="0.3">
      <c r="B9" s="1">
        <v>45175</v>
      </c>
    </row>
    <row r="10" spans="2:19" x14ac:dyDescent="0.3">
      <c r="B10" s="1">
        <v>45176</v>
      </c>
    </row>
    <row r="11" spans="2:19" x14ac:dyDescent="0.3">
      <c r="B11" s="1">
        <v>45177</v>
      </c>
    </row>
    <row r="12" spans="2:19" x14ac:dyDescent="0.3">
      <c r="B12" s="1">
        <v>45178</v>
      </c>
    </row>
    <row r="13" spans="2:19" x14ac:dyDescent="0.3">
      <c r="B13" s="1">
        <v>45179</v>
      </c>
    </row>
    <row r="14" spans="2:19" x14ac:dyDescent="0.3">
      <c r="B14" s="1">
        <v>45180</v>
      </c>
    </row>
    <row r="15" spans="2:19" x14ac:dyDescent="0.3">
      <c r="B15" s="1">
        <v>45181</v>
      </c>
    </row>
    <row r="16" spans="2:19" x14ac:dyDescent="0.3">
      <c r="B16" s="1">
        <v>45182</v>
      </c>
    </row>
    <row r="17" spans="2:2" x14ac:dyDescent="0.3">
      <c r="B17" s="1">
        <v>45183</v>
      </c>
    </row>
    <row r="18" spans="2:2" x14ac:dyDescent="0.3">
      <c r="B18" s="1">
        <v>45184</v>
      </c>
    </row>
    <row r="19" spans="2:2" x14ac:dyDescent="0.3">
      <c r="B19" s="1">
        <v>45185</v>
      </c>
    </row>
    <row r="20" spans="2:2" x14ac:dyDescent="0.3">
      <c r="B20" s="1">
        <v>45186</v>
      </c>
    </row>
    <row r="21" spans="2:2" x14ac:dyDescent="0.3">
      <c r="B21" s="1">
        <v>45187</v>
      </c>
    </row>
    <row r="22" spans="2:2" x14ac:dyDescent="0.3">
      <c r="B22" s="1">
        <v>45188</v>
      </c>
    </row>
    <row r="23" spans="2:2" x14ac:dyDescent="0.3">
      <c r="B23" s="1">
        <v>45189</v>
      </c>
    </row>
    <row r="24" spans="2:2" x14ac:dyDescent="0.3">
      <c r="B24" s="1">
        <v>45190</v>
      </c>
    </row>
    <row r="25" spans="2:2" x14ac:dyDescent="0.3">
      <c r="B25" s="1">
        <v>45191</v>
      </c>
    </row>
    <row r="26" spans="2:2" x14ac:dyDescent="0.3">
      <c r="B26" s="1">
        <v>45192</v>
      </c>
    </row>
    <row r="27" spans="2:2" x14ac:dyDescent="0.3">
      <c r="B27" s="1">
        <v>45193</v>
      </c>
    </row>
    <row r="28" spans="2:2" x14ac:dyDescent="0.3">
      <c r="B28" s="1">
        <v>45194</v>
      </c>
    </row>
    <row r="29" spans="2:2" x14ac:dyDescent="0.3">
      <c r="B29" s="1">
        <v>45195</v>
      </c>
    </row>
    <row r="30" spans="2:2" x14ac:dyDescent="0.3">
      <c r="B30" s="1">
        <v>45196</v>
      </c>
    </row>
    <row r="31" spans="2:2" x14ac:dyDescent="0.3">
      <c r="B31" s="1">
        <v>45197</v>
      </c>
    </row>
    <row r="32" spans="2:2" x14ac:dyDescent="0.3">
      <c r="B32" s="1">
        <v>45198</v>
      </c>
    </row>
    <row r="33" spans="2:2" x14ac:dyDescent="0.3">
      <c r="B33" s="1">
        <v>45199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FC4-E69A-4507-A61F-43F2965FF555}">
  <sheetPr codeName="Sheet2"/>
  <dimension ref="B2:O43"/>
  <sheetViews>
    <sheetView workbookViewId="0">
      <selection activeCell="H34" sqref="H34"/>
    </sheetView>
  </sheetViews>
  <sheetFormatPr defaultRowHeight="14.4" x14ac:dyDescent="0.3"/>
  <cols>
    <col min="2" max="2" width="10.5546875" bestFit="1" customWidth="1"/>
    <col min="4" max="4" width="9.88671875" bestFit="1" customWidth="1"/>
    <col min="6" max="6" width="8" bestFit="1" customWidth="1"/>
    <col min="9" max="9" width="16.33203125" bestFit="1" customWidth="1"/>
    <col min="10" max="10" width="9.6640625" bestFit="1" customWidth="1"/>
    <col min="11" max="11" width="7" customWidth="1"/>
    <col min="12" max="12" width="10.44140625" bestFit="1" customWidth="1"/>
  </cols>
  <sheetData>
    <row r="2" spans="2:15" x14ac:dyDescent="0.3">
      <c r="I2" s="16">
        <f>Calendar!$B$2</f>
        <v>2024</v>
      </c>
      <c r="J2" s="2" t="s">
        <v>43</v>
      </c>
      <c r="K2" s="2" t="s">
        <v>64</v>
      </c>
      <c r="L2" s="2" t="s">
        <v>56</v>
      </c>
      <c r="M2" s="2" t="s">
        <v>71</v>
      </c>
      <c r="O2" s="2" t="s">
        <v>72</v>
      </c>
    </row>
    <row r="3" spans="2:15" x14ac:dyDescent="0.3">
      <c r="B3" s="2" t="s">
        <v>40</v>
      </c>
      <c r="C3" s="2" t="s">
        <v>65</v>
      </c>
      <c r="D3" s="2" t="s">
        <v>66</v>
      </c>
      <c r="I3" s="5" t="str">
        <f>1&amp;"-"&amp;$J3&amp;"-"&amp;$I$2</f>
        <v>1-January-2024</v>
      </c>
      <c r="J3" t="s">
        <v>44</v>
      </c>
      <c r="K3">
        <f>DAY(DATE(YEAR(I3),MONTH(I3)+1,1)-1)</f>
        <v>31</v>
      </c>
      <c r="L3" t="s">
        <v>57</v>
      </c>
      <c r="M3">
        <v>2022</v>
      </c>
      <c r="N3">
        <v>1</v>
      </c>
      <c r="O3">
        <f>IF($N3&lt;=Calendar!$D$2,List!$N3,"")</f>
        <v>1</v>
      </c>
    </row>
    <row r="4" spans="2:15" x14ac:dyDescent="0.3">
      <c r="B4" t="s">
        <v>0</v>
      </c>
      <c r="C4" s="2" t="s">
        <v>0</v>
      </c>
      <c r="D4" s="2" t="s">
        <v>67</v>
      </c>
      <c r="I4" s="5" t="str">
        <f t="shared" ref="I4:I14" si="0">1&amp;"-"&amp;$J4&amp;"-"&amp;$I$2</f>
        <v>1-February-2024</v>
      </c>
      <c r="J4" t="s">
        <v>45</v>
      </c>
      <c r="K4">
        <f t="shared" ref="K4:K14" si="1">DAY(DATE(YEAR(I4),MONTH(I4)+1,1)-1)</f>
        <v>29</v>
      </c>
      <c r="L4" t="s">
        <v>58</v>
      </c>
      <c r="M4">
        <f>M3+1</f>
        <v>2023</v>
      </c>
      <c r="N4">
        <v>2</v>
      </c>
      <c r="O4">
        <f>IF($N4&lt;=Calendar!$D$2,List!$N4,"")</f>
        <v>2</v>
      </c>
    </row>
    <row r="5" spans="2:15" x14ac:dyDescent="0.3">
      <c r="B5" t="s">
        <v>1</v>
      </c>
      <c r="C5" t="s">
        <v>2</v>
      </c>
      <c r="D5" t="s">
        <v>67</v>
      </c>
      <c r="F5" s="3" t="s">
        <v>0</v>
      </c>
      <c r="I5" s="5" t="str">
        <f t="shared" si="0"/>
        <v>1-March-2024</v>
      </c>
      <c r="J5" t="s">
        <v>46</v>
      </c>
      <c r="K5">
        <f t="shared" si="1"/>
        <v>31</v>
      </c>
      <c r="L5" t="s">
        <v>59</v>
      </c>
      <c r="M5">
        <f t="shared" ref="M5:M6" si="2">M4+1</f>
        <v>2024</v>
      </c>
      <c r="N5">
        <v>3</v>
      </c>
      <c r="O5">
        <f>IF($N5&lt;=Calendar!$D$2,List!$N5,"")</f>
        <v>3</v>
      </c>
    </row>
    <row r="6" spans="2:15" x14ac:dyDescent="0.3">
      <c r="B6" t="s">
        <v>41</v>
      </c>
      <c r="C6" t="s">
        <v>5</v>
      </c>
      <c r="D6" t="s">
        <v>67</v>
      </c>
      <c r="F6" t="s">
        <v>2</v>
      </c>
      <c r="I6" s="5" t="str">
        <f t="shared" si="0"/>
        <v>1-April-2024</v>
      </c>
      <c r="J6" t="s">
        <v>47</v>
      </c>
      <c r="K6">
        <f t="shared" si="1"/>
        <v>30</v>
      </c>
      <c r="L6" t="s">
        <v>60</v>
      </c>
      <c r="M6">
        <f t="shared" si="2"/>
        <v>2025</v>
      </c>
      <c r="N6">
        <v>4</v>
      </c>
      <c r="O6">
        <f>IF($N6&lt;=Calendar!$D$2,List!$N6,"")</f>
        <v>4</v>
      </c>
    </row>
    <row r="7" spans="2:15" x14ac:dyDescent="0.3">
      <c r="B7" t="s">
        <v>42</v>
      </c>
      <c r="C7" s="2" t="s">
        <v>1</v>
      </c>
      <c r="D7" s="2" t="s">
        <v>68</v>
      </c>
      <c r="F7" t="str">
        <f>INDEX(BedType,MATCH($F$6,Room,0))</f>
        <v>KingBed</v>
      </c>
      <c r="I7" s="5" t="str">
        <f t="shared" si="0"/>
        <v>1-May-2024</v>
      </c>
      <c r="J7" t="s">
        <v>48</v>
      </c>
      <c r="K7">
        <f t="shared" si="1"/>
        <v>31</v>
      </c>
      <c r="L7" t="s">
        <v>61</v>
      </c>
      <c r="N7">
        <v>5</v>
      </c>
      <c r="O7">
        <f>IF($N7&lt;=Calendar!$D$2,List!$N7,"")</f>
        <v>5</v>
      </c>
    </row>
    <row r="8" spans="2:15" x14ac:dyDescent="0.3">
      <c r="C8" t="s">
        <v>3</v>
      </c>
      <c r="D8" t="s">
        <v>68</v>
      </c>
      <c r="I8" s="5" t="str">
        <f t="shared" si="0"/>
        <v>1-June-2024</v>
      </c>
      <c r="J8" t="s">
        <v>49</v>
      </c>
      <c r="K8">
        <f t="shared" si="1"/>
        <v>30</v>
      </c>
      <c r="L8" t="s">
        <v>62</v>
      </c>
      <c r="N8">
        <v>6</v>
      </c>
      <c r="O8">
        <f>IF($N8&lt;=Calendar!$D$2,List!$N8,"")</f>
        <v>6</v>
      </c>
    </row>
    <row r="9" spans="2:15" x14ac:dyDescent="0.3">
      <c r="C9" t="s">
        <v>6</v>
      </c>
      <c r="D9" t="s">
        <v>68</v>
      </c>
      <c r="I9" s="5" t="str">
        <f t="shared" si="0"/>
        <v>1-July-2024</v>
      </c>
      <c r="J9" t="s">
        <v>50</v>
      </c>
      <c r="K9">
        <f t="shared" si="1"/>
        <v>31</v>
      </c>
      <c r="L9" t="s">
        <v>63</v>
      </c>
      <c r="N9">
        <v>7</v>
      </c>
      <c r="O9">
        <f>IF($N9&lt;=Calendar!$D$2,List!$N9,"")</f>
        <v>7</v>
      </c>
    </row>
    <row r="10" spans="2:15" x14ac:dyDescent="0.3">
      <c r="C10" t="s">
        <v>7</v>
      </c>
      <c r="D10" t="s">
        <v>68</v>
      </c>
      <c r="I10" s="5" t="str">
        <f t="shared" si="0"/>
        <v>1-August-2024</v>
      </c>
      <c r="J10" t="s">
        <v>51</v>
      </c>
      <c r="K10">
        <f t="shared" si="1"/>
        <v>31</v>
      </c>
      <c r="N10">
        <v>8</v>
      </c>
      <c r="O10">
        <f>IF($N10&lt;=Calendar!$D$2,List!$N10,"")</f>
        <v>8</v>
      </c>
    </row>
    <row r="11" spans="2:15" x14ac:dyDescent="0.3">
      <c r="C11" t="s">
        <v>8</v>
      </c>
      <c r="D11" t="s">
        <v>68</v>
      </c>
      <c r="I11" s="5" t="str">
        <f t="shared" si="0"/>
        <v>1-September-2024</v>
      </c>
      <c r="J11" t="s">
        <v>52</v>
      </c>
      <c r="K11">
        <f t="shared" si="1"/>
        <v>30</v>
      </c>
      <c r="N11">
        <v>9</v>
      </c>
      <c r="O11">
        <f>IF($N11&lt;=Calendar!$D$2,List!$N11,"")</f>
        <v>9</v>
      </c>
    </row>
    <row r="12" spans="2:15" x14ac:dyDescent="0.3">
      <c r="C12" t="s">
        <v>9</v>
      </c>
      <c r="D12" t="s">
        <v>68</v>
      </c>
      <c r="I12" s="5" t="str">
        <f t="shared" si="0"/>
        <v>1-October-2024</v>
      </c>
      <c r="J12" t="s">
        <v>53</v>
      </c>
      <c r="K12">
        <f t="shared" si="1"/>
        <v>31</v>
      </c>
      <c r="N12">
        <v>10</v>
      </c>
      <c r="O12">
        <f>IF($N12&lt;=Calendar!$D$2,List!$N12,"")</f>
        <v>10</v>
      </c>
    </row>
    <row r="13" spans="2:15" x14ac:dyDescent="0.3">
      <c r="C13" t="s">
        <v>10</v>
      </c>
      <c r="D13" t="s">
        <v>68</v>
      </c>
      <c r="F13" s="22" t="str">
        <f>TEXT(Home!$E$14,"dd-mm-yy")</f>
        <v>10-09-23</v>
      </c>
      <c r="I13" s="5" t="str">
        <f t="shared" si="0"/>
        <v>1-November-2024</v>
      </c>
      <c r="J13" t="s">
        <v>54</v>
      </c>
      <c r="K13">
        <f t="shared" si="1"/>
        <v>30</v>
      </c>
      <c r="N13">
        <v>11</v>
      </c>
      <c r="O13">
        <f>IF($N13&lt;=Calendar!$D$2,List!$N13,"")</f>
        <v>11</v>
      </c>
    </row>
    <row r="14" spans="2:15" x14ac:dyDescent="0.3">
      <c r="C14" t="s">
        <v>11</v>
      </c>
      <c r="D14" t="s">
        <v>68</v>
      </c>
      <c r="I14" s="5" t="str">
        <f t="shared" si="0"/>
        <v>1-December-2024</v>
      </c>
      <c r="J14" t="s">
        <v>55</v>
      </c>
      <c r="K14">
        <f t="shared" si="1"/>
        <v>31</v>
      </c>
      <c r="N14">
        <v>12</v>
      </c>
      <c r="O14">
        <f>IF($N14&lt;=Calendar!$D$2,List!$N14,"")</f>
        <v>12</v>
      </c>
    </row>
    <row r="15" spans="2:15" x14ac:dyDescent="0.3">
      <c r="C15" t="s">
        <v>12</v>
      </c>
      <c r="D15" t="s">
        <v>68</v>
      </c>
      <c r="N15">
        <v>13</v>
      </c>
      <c r="O15">
        <f>IF($N15&lt;=Calendar!$D$2,List!$N15,"")</f>
        <v>13</v>
      </c>
    </row>
    <row r="16" spans="2:15" x14ac:dyDescent="0.3">
      <c r="C16" t="s">
        <v>13</v>
      </c>
      <c r="D16" t="s">
        <v>68</v>
      </c>
      <c r="I16" s="4">
        <f>MATCH(Calendar!$C$2,Month,0)</f>
        <v>10</v>
      </c>
      <c r="N16">
        <v>14</v>
      </c>
      <c r="O16">
        <f>IF($N16&lt;=Calendar!$D$2,List!$N16,"")</f>
        <v>14</v>
      </c>
    </row>
    <row r="17" spans="3:15" x14ac:dyDescent="0.3">
      <c r="C17" t="s">
        <v>14</v>
      </c>
      <c r="D17" t="s">
        <v>68</v>
      </c>
      <c r="N17">
        <v>15</v>
      </c>
      <c r="O17">
        <f>IF($N17&lt;=Calendar!$D$2,List!$N17,"")</f>
        <v>15</v>
      </c>
    </row>
    <row r="18" spans="3:15" x14ac:dyDescent="0.3">
      <c r="C18" s="2" t="s">
        <v>41</v>
      </c>
      <c r="D18" s="2" t="s">
        <v>69</v>
      </c>
      <c r="H18" s="5"/>
      <c r="N18">
        <v>16</v>
      </c>
      <c r="O18">
        <f>IF($N18&lt;=Calendar!$D$2,List!$N18,"")</f>
        <v>16</v>
      </c>
    </row>
    <row r="19" spans="3:15" x14ac:dyDescent="0.3">
      <c r="C19" t="s">
        <v>16</v>
      </c>
      <c r="D19" t="s">
        <v>69</v>
      </c>
      <c r="N19">
        <v>17</v>
      </c>
      <c r="O19">
        <f>IF($N19&lt;=Calendar!$D$2,List!$N19,"")</f>
        <v>17</v>
      </c>
    </row>
    <row r="20" spans="3:15" x14ac:dyDescent="0.3">
      <c r="C20" t="s">
        <v>17</v>
      </c>
      <c r="D20" t="s">
        <v>69</v>
      </c>
      <c r="N20">
        <v>18</v>
      </c>
      <c r="O20">
        <f>IF($N20&lt;=Calendar!$D$2,List!$N20,"")</f>
        <v>18</v>
      </c>
    </row>
    <row r="21" spans="3:15" x14ac:dyDescent="0.3">
      <c r="C21" t="s">
        <v>18</v>
      </c>
      <c r="D21" t="s">
        <v>69</v>
      </c>
      <c r="N21">
        <v>19</v>
      </c>
      <c r="O21">
        <f>IF($N21&lt;=Calendar!$D$2,List!$N21,"")</f>
        <v>19</v>
      </c>
    </row>
    <row r="22" spans="3:15" x14ac:dyDescent="0.3">
      <c r="C22" t="s">
        <v>19</v>
      </c>
      <c r="D22" t="s">
        <v>69</v>
      </c>
      <c r="N22">
        <v>20</v>
      </c>
      <c r="O22">
        <f>IF($N22&lt;=Calendar!$D$2,List!$N22,"")</f>
        <v>20</v>
      </c>
    </row>
    <row r="23" spans="3:15" x14ac:dyDescent="0.3">
      <c r="C23" t="s">
        <v>20</v>
      </c>
      <c r="D23" t="s">
        <v>69</v>
      </c>
      <c r="N23">
        <v>21</v>
      </c>
      <c r="O23">
        <f>IF($N23&lt;=Calendar!$D$2,List!$N23,"")</f>
        <v>21</v>
      </c>
    </row>
    <row r="24" spans="3:15" x14ac:dyDescent="0.3">
      <c r="C24" t="s">
        <v>21</v>
      </c>
      <c r="D24" t="s">
        <v>69</v>
      </c>
      <c r="N24">
        <v>22</v>
      </c>
      <c r="O24">
        <f>IF($N24&lt;=Calendar!$D$2,List!$N24,"")</f>
        <v>22</v>
      </c>
    </row>
    <row r="25" spans="3:15" x14ac:dyDescent="0.3">
      <c r="C25" t="s">
        <v>22</v>
      </c>
      <c r="D25" t="s">
        <v>69</v>
      </c>
      <c r="N25">
        <v>23</v>
      </c>
      <c r="O25">
        <f>IF($N25&lt;=Calendar!$D$2,List!$N25,"")</f>
        <v>23</v>
      </c>
    </row>
    <row r="26" spans="3:15" x14ac:dyDescent="0.3">
      <c r="C26" t="s">
        <v>23</v>
      </c>
      <c r="D26" t="s">
        <v>69</v>
      </c>
      <c r="N26">
        <v>24</v>
      </c>
      <c r="O26">
        <f>IF($N26&lt;=Calendar!$D$2,List!$N26,"")</f>
        <v>24</v>
      </c>
    </row>
    <row r="27" spans="3:15" x14ac:dyDescent="0.3">
      <c r="C27" t="s">
        <v>24</v>
      </c>
      <c r="D27" t="s">
        <v>69</v>
      </c>
      <c r="N27">
        <v>25</v>
      </c>
      <c r="O27">
        <f>IF($N27&lt;=Calendar!$D$2,List!$N27,"")</f>
        <v>25</v>
      </c>
    </row>
    <row r="28" spans="3:15" x14ac:dyDescent="0.3">
      <c r="C28" t="s">
        <v>25</v>
      </c>
      <c r="D28" t="s">
        <v>69</v>
      </c>
      <c r="N28">
        <v>26</v>
      </c>
      <c r="O28">
        <f>IF($N28&lt;=Calendar!$D$2,List!$N28,"")</f>
        <v>26</v>
      </c>
    </row>
    <row r="29" spans="3:15" x14ac:dyDescent="0.3">
      <c r="C29" t="s">
        <v>26</v>
      </c>
      <c r="D29" t="s">
        <v>69</v>
      </c>
      <c r="N29">
        <v>27</v>
      </c>
      <c r="O29">
        <f>IF($N29&lt;=Calendar!$D$2,List!$N29,"")</f>
        <v>27</v>
      </c>
    </row>
    <row r="30" spans="3:15" x14ac:dyDescent="0.3">
      <c r="C30" t="s">
        <v>27</v>
      </c>
      <c r="D30" t="s">
        <v>69</v>
      </c>
      <c r="N30">
        <v>28</v>
      </c>
      <c r="O30">
        <f>IF($N30&lt;=Calendar!$D$2,List!$N30,"")</f>
        <v>28</v>
      </c>
    </row>
    <row r="31" spans="3:15" x14ac:dyDescent="0.3">
      <c r="C31" s="2" t="s">
        <v>42</v>
      </c>
      <c r="D31" s="2" t="s">
        <v>70</v>
      </c>
      <c r="N31">
        <v>29</v>
      </c>
      <c r="O31">
        <f>IF($N31&lt;=Calendar!$D$2,List!$N31,"")</f>
        <v>29</v>
      </c>
    </row>
    <row r="32" spans="3:15" x14ac:dyDescent="0.3">
      <c r="C32" t="s">
        <v>28</v>
      </c>
      <c r="D32" t="s">
        <v>70</v>
      </c>
      <c r="N32">
        <v>30</v>
      </c>
      <c r="O32">
        <f>IF($N32&lt;=Calendar!$D$2,List!$N32,"")</f>
        <v>30</v>
      </c>
    </row>
    <row r="33" spans="3:15" x14ac:dyDescent="0.3">
      <c r="C33" t="s">
        <v>29</v>
      </c>
      <c r="D33" t="s">
        <v>70</v>
      </c>
      <c r="N33">
        <v>31</v>
      </c>
      <c r="O33">
        <f>IF($N33&lt;=Calendar!$D$2,List!$N33,"")</f>
        <v>31</v>
      </c>
    </row>
    <row r="34" spans="3:15" x14ac:dyDescent="0.3">
      <c r="C34" t="s">
        <v>30</v>
      </c>
      <c r="D34" t="s">
        <v>70</v>
      </c>
    </row>
    <row r="35" spans="3:15" x14ac:dyDescent="0.3">
      <c r="C35" t="s">
        <v>31</v>
      </c>
      <c r="D35" t="s">
        <v>70</v>
      </c>
    </row>
    <row r="36" spans="3:15" x14ac:dyDescent="0.3">
      <c r="C36" t="s">
        <v>32</v>
      </c>
      <c r="D36" t="s">
        <v>70</v>
      </c>
    </row>
    <row r="37" spans="3:15" x14ac:dyDescent="0.3">
      <c r="C37" t="s">
        <v>33</v>
      </c>
      <c r="D37" t="s">
        <v>70</v>
      </c>
    </row>
    <row r="38" spans="3:15" x14ac:dyDescent="0.3">
      <c r="C38" t="s">
        <v>34</v>
      </c>
      <c r="D38" t="s">
        <v>70</v>
      </c>
    </row>
    <row r="39" spans="3:15" x14ac:dyDescent="0.3">
      <c r="C39" t="s">
        <v>35</v>
      </c>
      <c r="D39" t="s">
        <v>70</v>
      </c>
    </row>
    <row r="40" spans="3:15" x14ac:dyDescent="0.3">
      <c r="C40" t="s">
        <v>36</v>
      </c>
      <c r="D40" t="s">
        <v>70</v>
      </c>
    </row>
    <row r="41" spans="3:15" x14ac:dyDescent="0.3">
      <c r="C41" t="s">
        <v>37</v>
      </c>
      <c r="D41" t="s">
        <v>70</v>
      </c>
    </row>
    <row r="42" spans="3:15" x14ac:dyDescent="0.3">
      <c r="C42" t="s">
        <v>38</v>
      </c>
      <c r="D42" t="s">
        <v>70</v>
      </c>
    </row>
    <row r="43" spans="3:15" x14ac:dyDescent="0.3">
      <c r="C43" t="s">
        <v>39</v>
      </c>
      <c r="D43" t="s">
        <v>70</v>
      </c>
    </row>
  </sheetData>
  <phoneticPr fontId="2" type="noConversion"/>
  <dataValidations count="2">
    <dataValidation type="list" allowBlank="1" showInputMessage="1" showErrorMessage="1" sqref="F5" xr:uid="{A7FC1A87-41CD-42BE-96D8-B41D1F6C8CC1}">
      <formula1>RoomType</formula1>
    </dataValidation>
    <dataValidation type="list" allowBlank="1" showInputMessage="1" showErrorMessage="1" sqref="F6" xr:uid="{DC342805-1D72-4F6B-8F62-E163AD918678}">
      <formula1>INDIRECT($F$5)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CA670-39A6-4FDF-B510-222ED4F2BF78}">
  <sheetPr codeName="Sh_Calendar">
    <tabColor rgb="FFFF66CC"/>
  </sheetPr>
  <dimension ref="A2:BH76"/>
  <sheetViews>
    <sheetView showGridLines="0" showRowColHeaders="0" zoomScale="80" zoomScaleNormal="80" workbookViewId="0">
      <selection activeCell="P28" sqref="P28"/>
    </sheetView>
  </sheetViews>
  <sheetFormatPr defaultRowHeight="14.4" x14ac:dyDescent="0.3"/>
  <cols>
    <col min="1" max="1" width="5.88671875" customWidth="1"/>
    <col min="3" max="3" width="13.5546875" customWidth="1"/>
    <col min="4" max="4" width="6.5546875" customWidth="1"/>
    <col min="5" max="5" width="9.6640625" style="6" customWidth="1"/>
    <col min="6" max="34" width="3.6640625" style="6" customWidth="1"/>
    <col min="35" max="48" width="3.6640625" customWidth="1"/>
  </cols>
  <sheetData>
    <row r="2" spans="1:60" ht="19.2" customHeight="1" x14ac:dyDescent="0.35">
      <c r="B2" s="14">
        <v>2024</v>
      </c>
      <c r="C2" s="14" t="s">
        <v>53</v>
      </c>
      <c r="D2" s="12" cm="1">
        <f t="array" ref="D2">INDEX(List!$K$3:$K$14,List!$I$16,1)</f>
        <v>31</v>
      </c>
      <c r="E2" s="10">
        <f>D2+7</f>
        <v>38</v>
      </c>
      <c r="F2" s="9"/>
      <c r="G2" s="9"/>
      <c r="H2" s="9"/>
      <c r="I2" s="9"/>
      <c r="J2" s="9"/>
      <c r="K2" s="10">
        <f t="shared" ref="K2:AV2" si="0">COLUMN(A1)</f>
        <v>1</v>
      </c>
      <c r="L2" s="10">
        <f t="shared" si="0"/>
        <v>2</v>
      </c>
      <c r="M2" s="10">
        <f t="shared" si="0"/>
        <v>3</v>
      </c>
      <c r="N2" s="10">
        <f t="shared" si="0"/>
        <v>4</v>
      </c>
      <c r="O2" s="10">
        <f t="shared" si="0"/>
        <v>5</v>
      </c>
      <c r="P2" s="10">
        <f t="shared" si="0"/>
        <v>6</v>
      </c>
      <c r="Q2" s="10">
        <f t="shared" si="0"/>
        <v>7</v>
      </c>
      <c r="R2" s="10">
        <f t="shared" si="0"/>
        <v>8</v>
      </c>
      <c r="S2" s="10">
        <f t="shared" si="0"/>
        <v>9</v>
      </c>
      <c r="T2" s="10">
        <f t="shared" si="0"/>
        <v>10</v>
      </c>
      <c r="U2" s="10">
        <f t="shared" si="0"/>
        <v>11</v>
      </c>
      <c r="V2" s="10">
        <f t="shared" si="0"/>
        <v>12</v>
      </c>
      <c r="W2" s="10">
        <f t="shared" si="0"/>
        <v>13</v>
      </c>
      <c r="X2" s="10">
        <f t="shared" si="0"/>
        <v>14</v>
      </c>
      <c r="Y2" s="10">
        <f t="shared" si="0"/>
        <v>15</v>
      </c>
      <c r="Z2" s="10">
        <f t="shared" si="0"/>
        <v>16</v>
      </c>
      <c r="AA2" s="10">
        <f t="shared" si="0"/>
        <v>17</v>
      </c>
      <c r="AB2" s="10">
        <f t="shared" si="0"/>
        <v>18</v>
      </c>
      <c r="AC2" s="10">
        <f t="shared" si="0"/>
        <v>19</v>
      </c>
      <c r="AD2" s="10">
        <f t="shared" si="0"/>
        <v>20</v>
      </c>
      <c r="AE2" s="10">
        <f t="shared" si="0"/>
        <v>21</v>
      </c>
      <c r="AF2" s="10">
        <f t="shared" si="0"/>
        <v>22</v>
      </c>
      <c r="AG2" s="10">
        <f t="shared" si="0"/>
        <v>23</v>
      </c>
      <c r="AH2" s="10">
        <f t="shared" si="0"/>
        <v>24</v>
      </c>
      <c r="AI2" s="10">
        <f t="shared" si="0"/>
        <v>25</v>
      </c>
      <c r="AJ2" s="10">
        <f t="shared" si="0"/>
        <v>26</v>
      </c>
      <c r="AK2" s="10">
        <f t="shared" si="0"/>
        <v>27</v>
      </c>
      <c r="AL2" s="10">
        <f t="shared" si="0"/>
        <v>28</v>
      </c>
      <c r="AM2" s="10">
        <f t="shared" si="0"/>
        <v>29</v>
      </c>
      <c r="AN2" s="10">
        <f t="shared" si="0"/>
        <v>30</v>
      </c>
      <c r="AO2" s="10">
        <f t="shared" si="0"/>
        <v>31</v>
      </c>
      <c r="AP2" s="10">
        <f t="shared" si="0"/>
        <v>32</v>
      </c>
      <c r="AQ2" s="10">
        <f t="shared" si="0"/>
        <v>33</v>
      </c>
      <c r="AR2" s="10">
        <f t="shared" si="0"/>
        <v>34</v>
      </c>
      <c r="AS2" s="10">
        <f t="shared" si="0"/>
        <v>35</v>
      </c>
      <c r="AT2" s="10">
        <f t="shared" si="0"/>
        <v>36</v>
      </c>
      <c r="AU2" s="10">
        <f t="shared" si="0"/>
        <v>37</v>
      </c>
      <c r="AV2" s="10">
        <f t="shared" si="0"/>
        <v>38</v>
      </c>
    </row>
    <row r="3" spans="1:60" s="8" customFormat="1" ht="15" customHeight="1" x14ac:dyDescent="0.3">
      <c r="E3" s="13" t="s">
        <v>65</v>
      </c>
      <c r="F3" s="11">
        <f>WEEKDAY(F4,2)</f>
        <v>4</v>
      </c>
      <c r="G3" s="11">
        <f t="shared" ref="G3:AV3" si="1">WEEKDAY(G4,2)</f>
        <v>5</v>
      </c>
      <c r="H3" s="11">
        <f t="shared" si="1"/>
        <v>6</v>
      </c>
      <c r="I3" s="11">
        <f t="shared" si="1"/>
        <v>7</v>
      </c>
      <c r="J3" s="11">
        <f t="shared" si="1"/>
        <v>1</v>
      </c>
      <c r="K3" s="11">
        <f t="shared" si="1"/>
        <v>2</v>
      </c>
      <c r="L3" s="11">
        <f t="shared" si="1"/>
        <v>3</v>
      </c>
      <c r="M3" s="11">
        <f t="shared" si="1"/>
        <v>4</v>
      </c>
      <c r="N3" s="11">
        <f t="shared" si="1"/>
        <v>5</v>
      </c>
      <c r="O3" s="11">
        <f t="shared" si="1"/>
        <v>6</v>
      </c>
      <c r="P3" s="11">
        <f t="shared" si="1"/>
        <v>7</v>
      </c>
      <c r="Q3" s="11">
        <f t="shared" si="1"/>
        <v>1</v>
      </c>
      <c r="R3" s="11">
        <f t="shared" si="1"/>
        <v>2</v>
      </c>
      <c r="S3" s="11">
        <f t="shared" si="1"/>
        <v>3</v>
      </c>
      <c r="T3" s="11">
        <f t="shared" si="1"/>
        <v>4</v>
      </c>
      <c r="U3" s="11">
        <f t="shared" si="1"/>
        <v>5</v>
      </c>
      <c r="V3" s="11">
        <f t="shared" si="1"/>
        <v>6</v>
      </c>
      <c r="W3" s="11">
        <f t="shared" si="1"/>
        <v>7</v>
      </c>
      <c r="X3" s="11">
        <f t="shared" si="1"/>
        <v>1</v>
      </c>
      <c r="Y3" s="11">
        <f t="shared" si="1"/>
        <v>2</v>
      </c>
      <c r="Z3" s="11">
        <f t="shared" si="1"/>
        <v>3</v>
      </c>
      <c r="AA3" s="11">
        <f t="shared" si="1"/>
        <v>4</v>
      </c>
      <c r="AB3" s="11">
        <f t="shared" si="1"/>
        <v>5</v>
      </c>
      <c r="AC3" s="11">
        <f t="shared" si="1"/>
        <v>6</v>
      </c>
      <c r="AD3" s="11">
        <f t="shared" si="1"/>
        <v>7</v>
      </c>
      <c r="AE3" s="11">
        <f t="shared" si="1"/>
        <v>1</v>
      </c>
      <c r="AF3" s="11">
        <f t="shared" si="1"/>
        <v>2</v>
      </c>
      <c r="AG3" s="11">
        <f t="shared" si="1"/>
        <v>3</v>
      </c>
      <c r="AH3" s="11">
        <f t="shared" si="1"/>
        <v>4</v>
      </c>
      <c r="AI3" s="11">
        <f t="shared" si="1"/>
        <v>5</v>
      </c>
      <c r="AJ3" s="11">
        <f t="shared" si="1"/>
        <v>6</v>
      </c>
      <c r="AK3" s="11">
        <f t="shared" si="1"/>
        <v>7</v>
      </c>
      <c r="AL3" s="11">
        <f t="shared" si="1"/>
        <v>1</v>
      </c>
      <c r="AM3" s="11">
        <f t="shared" si="1"/>
        <v>2</v>
      </c>
      <c r="AN3" s="11">
        <f t="shared" si="1"/>
        <v>3</v>
      </c>
      <c r="AO3" s="11">
        <f t="shared" si="1"/>
        <v>4</v>
      </c>
      <c r="AP3" s="11">
        <f t="shared" si="1"/>
        <v>5</v>
      </c>
      <c r="AQ3" s="11">
        <f t="shared" si="1"/>
        <v>6</v>
      </c>
      <c r="AR3" s="11">
        <f t="shared" si="1"/>
        <v>7</v>
      </c>
      <c r="AS3" s="11">
        <f t="shared" si="1"/>
        <v>1</v>
      </c>
      <c r="AT3" s="11">
        <f t="shared" si="1"/>
        <v>2</v>
      </c>
      <c r="AU3" s="11">
        <f t="shared" si="1"/>
        <v>3</v>
      </c>
      <c r="AV3" s="11">
        <f t="shared" si="1"/>
        <v>4</v>
      </c>
    </row>
    <row r="4" spans="1:60" s="5" customFormat="1" ht="49.95" customHeight="1" x14ac:dyDescent="0.3">
      <c r="E4" s="72" t="s">
        <v>1</v>
      </c>
      <c r="F4" s="44">
        <f>G4-1</f>
        <v>45561</v>
      </c>
      <c r="G4" s="44">
        <f t="shared" ref="G4:I4" si="2">H4-1</f>
        <v>45562</v>
      </c>
      <c r="H4" s="44">
        <f t="shared" si="2"/>
        <v>45563</v>
      </c>
      <c r="I4" s="44">
        <f t="shared" si="2"/>
        <v>45564</v>
      </c>
      <c r="J4" s="44">
        <f>K4-1</f>
        <v>45565</v>
      </c>
      <c r="K4" s="44">
        <f>--TEXT(DATE($B$2,List!$I$16,1),"dd-mm-yy")</f>
        <v>45566</v>
      </c>
      <c r="L4" s="44">
        <f>--TEXT(IF(L$2&lt;=$E$2,K$4+1,""),"dd-mm-yy")</f>
        <v>45567</v>
      </c>
      <c r="M4" s="44">
        <f t="shared" ref="M4:AU4" si="3">--TEXT(IF(M$2&lt;=$E$2,L$4+1,""),"dd-mm-yy")</f>
        <v>45568</v>
      </c>
      <c r="N4" s="44">
        <f t="shared" si="3"/>
        <v>45569</v>
      </c>
      <c r="O4" s="44">
        <f t="shared" si="3"/>
        <v>45570</v>
      </c>
      <c r="P4" s="44">
        <f t="shared" si="3"/>
        <v>45571</v>
      </c>
      <c r="Q4" s="44">
        <f t="shared" si="3"/>
        <v>45572</v>
      </c>
      <c r="R4" s="44">
        <f t="shared" si="3"/>
        <v>45573</v>
      </c>
      <c r="S4" s="44">
        <f t="shared" si="3"/>
        <v>45574</v>
      </c>
      <c r="T4" s="44">
        <f t="shared" si="3"/>
        <v>45575</v>
      </c>
      <c r="U4" s="44">
        <f t="shared" si="3"/>
        <v>45576</v>
      </c>
      <c r="V4" s="44">
        <f t="shared" si="3"/>
        <v>45577</v>
      </c>
      <c r="W4" s="44">
        <f t="shared" si="3"/>
        <v>45578</v>
      </c>
      <c r="X4" s="44">
        <f t="shared" si="3"/>
        <v>45579</v>
      </c>
      <c r="Y4" s="44">
        <f t="shared" si="3"/>
        <v>45580</v>
      </c>
      <c r="Z4" s="44">
        <f t="shared" si="3"/>
        <v>45581</v>
      </c>
      <c r="AA4" s="44">
        <f t="shared" si="3"/>
        <v>45582</v>
      </c>
      <c r="AB4" s="44">
        <f t="shared" si="3"/>
        <v>45583</v>
      </c>
      <c r="AC4" s="44">
        <f t="shared" si="3"/>
        <v>45584</v>
      </c>
      <c r="AD4" s="44">
        <f t="shared" si="3"/>
        <v>45585</v>
      </c>
      <c r="AE4" s="44">
        <f t="shared" si="3"/>
        <v>45586</v>
      </c>
      <c r="AF4" s="44">
        <f t="shared" si="3"/>
        <v>45587</v>
      </c>
      <c r="AG4" s="44">
        <f t="shared" si="3"/>
        <v>45588</v>
      </c>
      <c r="AH4" s="44">
        <f t="shared" si="3"/>
        <v>45589</v>
      </c>
      <c r="AI4" s="44">
        <f t="shared" si="3"/>
        <v>45590</v>
      </c>
      <c r="AJ4" s="44">
        <f t="shared" si="3"/>
        <v>45591</v>
      </c>
      <c r="AK4" s="44">
        <f t="shared" si="3"/>
        <v>45592</v>
      </c>
      <c r="AL4" s="44">
        <f t="shared" si="3"/>
        <v>45593</v>
      </c>
      <c r="AM4" s="44">
        <f t="shared" si="3"/>
        <v>45594</v>
      </c>
      <c r="AN4" s="44">
        <f t="shared" si="3"/>
        <v>45595</v>
      </c>
      <c r="AO4" s="44">
        <f t="shared" si="3"/>
        <v>45596</v>
      </c>
      <c r="AP4" s="44">
        <f t="shared" si="3"/>
        <v>45597</v>
      </c>
      <c r="AQ4" s="44">
        <f t="shared" si="3"/>
        <v>45598</v>
      </c>
      <c r="AR4" s="44">
        <f t="shared" si="3"/>
        <v>45599</v>
      </c>
      <c r="AS4" s="44">
        <f t="shared" si="3"/>
        <v>45600</v>
      </c>
      <c r="AT4" s="44">
        <f t="shared" si="3"/>
        <v>45601</v>
      </c>
      <c r="AU4" s="45">
        <f t="shared" si="3"/>
        <v>45602</v>
      </c>
      <c r="AV4" s="20" t="str">
        <f t="shared" ref="AV4" si="4">TEXT(IF(AV$2&lt;=$E$2,AU4+1,""),"dd-mm-yy")</f>
        <v>07-11-24</v>
      </c>
    </row>
    <row r="5" spans="1:60" s="15" customFormat="1" ht="15" customHeight="1" x14ac:dyDescent="0.3">
      <c r="C5" s="4"/>
      <c r="E5" s="73"/>
      <c r="F5" s="15" t="str">
        <f>LEFT(TEXT(F$4,"ddd"),2)</f>
        <v>Th</v>
      </c>
      <c r="G5" s="15" t="str">
        <f t="shared" ref="G5:AV5" si="5">LEFT(TEXT(G$4,"ddd"),2)</f>
        <v>Fr</v>
      </c>
      <c r="H5" s="15" t="str">
        <f t="shared" si="5"/>
        <v>Sa</v>
      </c>
      <c r="I5" s="15" t="str">
        <f t="shared" si="5"/>
        <v>Su</v>
      </c>
      <c r="J5" s="15" t="str">
        <f t="shared" si="5"/>
        <v>Mo</v>
      </c>
      <c r="K5" s="15" t="str">
        <f t="shared" si="5"/>
        <v>Tu</v>
      </c>
      <c r="L5" s="15" t="str">
        <f t="shared" si="5"/>
        <v>We</v>
      </c>
      <c r="M5" s="15" t="str">
        <f t="shared" si="5"/>
        <v>Th</v>
      </c>
      <c r="N5" s="15" t="str">
        <f t="shared" si="5"/>
        <v>Fr</v>
      </c>
      <c r="O5" s="15" t="str">
        <f t="shared" si="5"/>
        <v>Sa</v>
      </c>
      <c r="P5" s="15" t="str">
        <f t="shared" si="5"/>
        <v>Su</v>
      </c>
      <c r="Q5" s="15" t="str">
        <f t="shared" si="5"/>
        <v>Mo</v>
      </c>
      <c r="R5" s="15" t="str">
        <f t="shared" si="5"/>
        <v>Tu</v>
      </c>
      <c r="S5" s="15" t="str">
        <f t="shared" si="5"/>
        <v>We</v>
      </c>
      <c r="T5" s="15" t="str">
        <f t="shared" si="5"/>
        <v>Th</v>
      </c>
      <c r="U5" s="15" t="str">
        <f t="shared" si="5"/>
        <v>Fr</v>
      </c>
      <c r="V5" s="15" t="str">
        <f t="shared" si="5"/>
        <v>Sa</v>
      </c>
      <c r="W5" s="15" t="str">
        <f t="shared" si="5"/>
        <v>Su</v>
      </c>
      <c r="X5" s="15" t="str">
        <f t="shared" si="5"/>
        <v>Mo</v>
      </c>
      <c r="Y5" s="15" t="str">
        <f t="shared" si="5"/>
        <v>Tu</v>
      </c>
      <c r="Z5" s="15" t="str">
        <f t="shared" si="5"/>
        <v>We</v>
      </c>
      <c r="AA5" s="15" t="str">
        <f t="shared" si="5"/>
        <v>Th</v>
      </c>
      <c r="AB5" s="15" t="str">
        <f t="shared" si="5"/>
        <v>Fr</v>
      </c>
      <c r="AC5" s="15" t="str">
        <f t="shared" si="5"/>
        <v>Sa</v>
      </c>
      <c r="AD5" s="15" t="str">
        <f t="shared" si="5"/>
        <v>Su</v>
      </c>
      <c r="AE5" s="15" t="str">
        <f t="shared" si="5"/>
        <v>Mo</v>
      </c>
      <c r="AF5" s="15" t="str">
        <f t="shared" si="5"/>
        <v>Tu</v>
      </c>
      <c r="AG5" s="15" t="str">
        <f t="shared" si="5"/>
        <v>We</v>
      </c>
      <c r="AH5" s="15" t="str">
        <f t="shared" si="5"/>
        <v>Th</v>
      </c>
      <c r="AI5" s="15" t="str">
        <f t="shared" si="5"/>
        <v>Fr</v>
      </c>
      <c r="AJ5" s="15" t="str">
        <f t="shared" si="5"/>
        <v>Sa</v>
      </c>
      <c r="AK5" s="15" t="str">
        <f t="shared" si="5"/>
        <v>Su</v>
      </c>
      <c r="AL5" s="15" t="str">
        <f t="shared" si="5"/>
        <v>Mo</v>
      </c>
      <c r="AM5" s="15" t="str">
        <f t="shared" si="5"/>
        <v>Tu</v>
      </c>
      <c r="AN5" s="15" t="str">
        <f t="shared" si="5"/>
        <v>We</v>
      </c>
      <c r="AO5" s="15" t="str">
        <f t="shared" si="5"/>
        <v>Th</v>
      </c>
      <c r="AP5" s="15" t="str">
        <f t="shared" si="5"/>
        <v>Fr</v>
      </c>
      <c r="AQ5" s="15" t="str">
        <f t="shared" si="5"/>
        <v>Sa</v>
      </c>
      <c r="AR5" s="15" t="str">
        <f t="shared" si="5"/>
        <v>Su</v>
      </c>
      <c r="AS5" s="15" t="str">
        <f t="shared" si="5"/>
        <v>Mo</v>
      </c>
      <c r="AT5" s="15" t="str">
        <f t="shared" si="5"/>
        <v>Tu</v>
      </c>
      <c r="AU5" s="46" t="str">
        <f t="shared" si="5"/>
        <v>We</v>
      </c>
      <c r="AV5" s="15" t="str">
        <f t="shared" si="5"/>
        <v>Th</v>
      </c>
      <c r="AW5" s="34" t="s">
        <v>86</v>
      </c>
      <c r="AX5" s="35" t="s">
        <v>87</v>
      </c>
      <c r="BE5" s="33">
        <v>1</v>
      </c>
      <c r="BF5" s="31" t="s">
        <v>86</v>
      </c>
      <c r="BG5" s="31" t="s">
        <v>87</v>
      </c>
      <c r="BH5" s="31" t="s">
        <v>75</v>
      </c>
    </row>
    <row r="6" spans="1:60" ht="15.45" customHeight="1" x14ac:dyDescent="0.3">
      <c r="C6" s="4"/>
      <c r="E6" s="30" t="str" cm="1">
        <f t="array" ref="E6:E15">_xlfn.IFS($E$4="A",A,Calendar!$E$4="B",B,Calendar!$E$4="C_1",C_1,TRUE,C_2)</f>
        <v>B1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47"/>
      <c r="AW6" s="5" t="e">
        <f>--BF6</f>
        <v>#N/A</v>
      </c>
      <c r="AX6" s="5" t="e">
        <f>--BG6</f>
        <v>#N/A</v>
      </c>
      <c r="BE6" s="32" t="e" cm="1">
        <f t="array" ref="BE6:BE15">MATCH(_xlfn.ANCHORARRAY(E6)&amp;$BE$5,DataBase!$G$3:$G$62&amp;DataBase!$O$3:$O$62,0)</f>
        <v>#N/A</v>
      </c>
      <c r="BF6" s="32" t="e" cm="1">
        <f t="array" ref="BF6">INDEX(DataBase!$C$3:$C$62,Calendar!$BE6,1)</f>
        <v>#N/A</v>
      </c>
      <c r="BG6" s="32" t="e" cm="1">
        <f t="array" ref="BG6">INDEX(DataBase!$D$3:$D$62,Calendar!$BE6,1)</f>
        <v>#N/A</v>
      </c>
      <c r="BH6" s="32" t="e" cm="1">
        <f t="array" ref="BH6">INDEX(DataBase!$E$3:$E$62,Calendar!$BE6,1)</f>
        <v>#N/A</v>
      </c>
    </row>
    <row r="7" spans="1:60" ht="15.45" customHeight="1" x14ac:dyDescent="0.3">
      <c r="A7" s="7"/>
      <c r="C7" s="15"/>
      <c r="E7" s="30" t="str">
        <v>B2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47"/>
      <c r="AW7" s="5" t="e">
        <f t="shared" ref="AW7:AW17" si="6">--BF7</f>
        <v>#N/A</v>
      </c>
      <c r="AX7" s="5" t="e">
        <f t="shared" ref="AX7:AX17" si="7">--BG7</f>
        <v>#N/A</v>
      </c>
      <c r="BE7" s="32" t="e">
        <v>#N/A</v>
      </c>
      <c r="BF7" s="32" t="e" cm="1">
        <f t="array" ref="BF7">INDEX(DataBase!$C$3:$C$62,Calendar!$BE7,1)</f>
        <v>#N/A</v>
      </c>
      <c r="BG7" s="32" t="e" cm="1">
        <f t="array" ref="BG7">INDEX(DataBase!$D$3:$D$62,Calendar!$BE7,1)</f>
        <v>#N/A</v>
      </c>
      <c r="BH7" s="32" t="e" cm="1">
        <f t="array" ref="BH7">INDEX(DataBase!$E$3:$E$62,Calendar!$BE7,1)</f>
        <v>#N/A</v>
      </c>
    </row>
    <row r="8" spans="1:60" ht="15.45" customHeight="1" x14ac:dyDescent="0.3">
      <c r="A8" s="7"/>
      <c r="C8" s="5"/>
      <c r="E8" s="30" t="str">
        <v>B3</v>
      </c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47"/>
      <c r="AW8" s="5" t="e">
        <f t="shared" si="6"/>
        <v>#N/A</v>
      </c>
      <c r="AX8" s="5" t="e">
        <f t="shared" si="7"/>
        <v>#N/A</v>
      </c>
      <c r="BE8" s="32" t="e">
        <v>#N/A</v>
      </c>
      <c r="BF8" s="32" t="e" cm="1">
        <f t="array" ref="BF8">INDEX(DataBase!$C$3:$C$62,Calendar!$BE8,1)</f>
        <v>#N/A</v>
      </c>
      <c r="BG8" s="32" t="e" cm="1">
        <f t="array" ref="BG8">INDEX(DataBase!$D$3:$D$62,Calendar!$BE8,1)</f>
        <v>#N/A</v>
      </c>
      <c r="BH8" s="32" t="e" cm="1">
        <f t="array" ref="BH8">INDEX(DataBase!$E$3:$E$62,Calendar!$BE8,1)</f>
        <v>#N/A</v>
      </c>
    </row>
    <row r="9" spans="1:60" ht="15.45" customHeight="1" x14ac:dyDescent="0.3">
      <c r="A9" s="7"/>
      <c r="C9" s="5"/>
      <c r="E9" s="30" t="str">
        <v>B4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47"/>
      <c r="AW9" s="5" t="e">
        <f t="shared" si="6"/>
        <v>#N/A</v>
      </c>
      <c r="AX9" s="5" t="e">
        <f t="shared" si="7"/>
        <v>#N/A</v>
      </c>
      <c r="BE9" s="32" t="e">
        <v>#N/A</v>
      </c>
      <c r="BF9" s="32" t="e" cm="1">
        <f t="array" ref="BF9">INDEX(DataBase!$C$3:$C$62,Calendar!$BE9,1)</f>
        <v>#N/A</v>
      </c>
      <c r="BG9" s="32" t="e" cm="1">
        <f t="array" ref="BG9">INDEX(DataBase!$D$3:$D$62,Calendar!$BE9,1)</f>
        <v>#N/A</v>
      </c>
      <c r="BH9" s="32" t="e" cm="1">
        <f t="array" ref="BH9">INDEX(DataBase!$E$3:$E$62,Calendar!$BE9,1)</f>
        <v>#N/A</v>
      </c>
    </row>
    <row r="10" spans="1:60" ht="15.45" customHeight="1" x14ac:dyDescent="0.3">
      <c r="A10" s="7"/>
      <c r="C10" s="5"/>
      <c r="E10" s="30" t="str">
        <v>B5</v>
      </c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47"/>
      <c r="AW10" s="5" t="e">
        <f t="shared" si="6"/>
        <v>#N/A</v>
      </c>
      <c r="AX10" s="5" t="e">
        <f t="shared" si="7"/>
        <v>#N/A</v>
      </c>
      <c r="BE10" s="32" t="e">
        <v>#N/A</v>
      </c>
      <c r="BF10" s="32" t="e" cm="1">
        <f t="array" ref="BF10">INDEX(DataBase!$C$3:$C$62,Calendar!$BE10,1)</f>
        <v>#N/A</v>
      </c>
      <c r="BG10" s="32" t="e" cm="1">
        <f t="array" ref="BG10">INDEX(DataBase!$D$3:$D$62,Calendar!$BE10,1)</f>
        <v>#N/A</v>
      </c>
      <c r="BH10" s="32" t="e" cm="1">
        <f t="array" ref="BH10">INDEX(DataBase!$E$3:$E$62,Calendar!$BE10,1)</f>
        <v>#N/A</v>
      </c>
    </row>
    <row r="11" spans="1:60" ht="15.45" customHeight="1" x14ac:dyDescent="0.3">
      <c r="A11" s="7"/>
      <c r="C11" s="5"/>
      <c r="E11" s="30" t="str">
        <v>B6</v>
      </c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47"/>
      <c r="AW11" s="5" t="e">
        <f t="shared" si="6"/>
        <v>#N/A</v>
      </c>
      <c r="AX11" s="5" t="e">
        <f t="shared" si="7"/>
        <v>#N/A</v>
      </c>
      <c r="BE11" s="32" t="e">
        <v>#N/A</v>
      </c>
      <c r="BF11" s="32" t="e" cm="1">
        <f t="array" ref="BF11">INDEX(DataBase!$C$3:$C$62,Calendar!$BE11,1)</f>
        <v>#N/A</v>
      </c>
      <c r="BG11" s="32" t="e" cm="1">
        <f t="array" ref="BG11">INDEX(DataBase!$D$3:$D$62,Calendar!$BE11,1)</f>
        <v>#N/A</v>
      </c>
      <c r="BH11" s="32" t="e" cm="1">
        <f t="array" ref="BH11">INDEX(DataBase!$E$3:$E$62,Calendar!$BE11,1)</f>
        <v>#N/A</v>
      </c>
    </row>
    <row r="12" spans="1:60" ht="15.45" customHeight="1" x14ac:dyDescent="0.3">
      <c r="A12" s="7"/>
      <c r="C12" s="5"/>
      <c r="E12" s="30" t="str">
        <v>B7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47"/>
      <c r="AW12" s="5" t="e">
        <f t="shared" si="6"/>
        <v>#N/A</v>
      </c>
      <c r="AX12" s="5" t="e">
        <f t="shared" si="7"/>
        <v>#N/A</v>
      </c>
      <c r="BE12" s="32" t="e">
        <v>#N/A</v>
      </c>
      <c r="BF12" s="32" t="e" cm="1">
        <f t="array" ref="BF12">INDEX(DataBase!$C$3:$C$62,Calendar!$BE12,1)</f>
        <v>#N/A</v>
      </c>
      <c r="BG12" s="32" t="e" cm="1">
        <f t="array" ref="BG12">INDEX(DataBase!$D$3:$D$62,Calendar!$BE12,1)</f>
        <v>#N/A</v>
      </c>
      <c r="BH12" s="32" t="e" cm="1">
        <f t="array" ref="BH12">INDEX(DataBase!$E$3:$E$62,Calendar!$BE12,1)</f>
        <v>#N/A</v>
      </c>
    </row>
    <row r="13" spans="1:60" ht="15.45" customHeight="1" x14ac:dyDescent="0.3">
      <c r="A13" s="7"/>
      <c r="C13" s="5"/>
      <c r="E13" s="30" t="str">
        <v>B8</v>
      </c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47"/>
      <c r="AW13" s="5" t="e">
        <f t="shared" si="6"/>
        <v>#N/A</v>
      </c>
      <c r="AX13" s="5" t="e">
        <f t="shared" si="7"/>
        <v>#N/A</v>
      </c>
      <c r="BE13" s="32" t="e">
        <v>#N/A</v>
      </c>
      <c r="BF13" s="32" t="e" cm="1">
        <f t="array" ref="BF13">INDEX(DataBase!$C$3:$C$62,Calendar!$BE13,1)</f>
        <v>#N/A</v>
      </c>
      <c r="BG13" s="32" t="e" cm="1">
        <f t="array" ref="BG13">INDEX(DataBase!$D$3:$D$62,Calendar!$BE13,1)</f>
        <v>#N/A</v>
      </c>
      <c r="BH13" s="32" t="e" cm="1">
        <f t="array" ref="BH13">INDEX(DataBase!$E$3:$E$62,Calendar!$BE13,1)</f>
        <v>#N/A</v>
      </c>
    </row>
    <row r="14" spans="1:60" ht="15.45" customHeight="1" x14ac:dyDescent="0.3">
      <c r="A14" s="7"/>
      <c r="C14" s="5"/>
      <c r="E14" s="30" t="str">
        <v>B9</v>
      </c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47"/>
      <c r="AW14" s="5" t="e">
        <f t="shared" si="6"/>
        <v>#N/A</v>
      </c>
      <c r="AX14" s="5" t="e">
        <f t="shared" si="7"/>
        <v>#N/A</v>
      </c>
      <c r="BE14" s="32" t="e">
        <v>#N/A</v>
      </c>
      <c r="BF14" s="32" t="e" cm="1">
        <f t="array" ref="BF14">INDEX(DataBase!$C$3:$C$62,Calendar!$BE14,1)</f>
        <v>#N/A</v>
      </c>
      <c r="BG14" s="32" t="e" cm="1">
        <f t="array" ref="BG14">INDEX(DataBase!$D$3:$D$62,Calendar!$BE14,1)</f>
        <v>#N/A</v>
      </c>
      <c r="BH14" s="32" t="e" cm="1">
        <f t="array" ref="BH14">INDEX(DataBase!$E$3:$E$62,Calendar!$BE14,1)</f>
        <v>#N/A</v>
      </c>
    </row>
    <row r="15" spans="1:60" ht="15.45" customHeight="1" x14ac:dyDescent="0.3">
      <c r="A15" s="7"/>
      <c r="C15" s="5"/>
      <c r="E15" s="30" t="str">
        <v>B10</v>
      </c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47"/>
      <c r="AW15" s="5" t="e">
        <f t="shared" si="6"/>
        <v>#N/A</v>
      </c>
      <c r="AX15" s="5" t="e">
        <f t="shared" si="7"/>
        <v>#N/A</v>
      </c>
      <c r="BE15" s="32" t="e">
        <v>#N/A</v>
      </c>
      <c r="BF15" s="32" t="e" cm="1">
        <f t="array" ref="BF15">INDEX(DataBase!$C$3:$C$62,Calendar!$BE15,1)</f>
        <v>#N/A</v>
      </c>
      <c r="BG15" s="32" t="e" cm="1">
        <f t="array" ref="BG15">INDEX(DataBase!$D$3:$D$62,Calendar!$BE15,1)</f>
        <v>#N/A</v>
      </c>
      <c r="BH15" s="32" t="e" cm="1">
        <f t="array" ref="BH15">INDEX(DataBase!$E$3:$E$62,Calendar!$BE15,1)</f>
        <v>#N/A</v>
      </c>
    </row>
    <row r="16" spans="1:60" ht="15.45" customHeight="1" x14ac:dyDescent="0.3">
      <c r="A16" s="7"/>
      <c r="C16" s="5"/>
      <c r="E16" s="30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47"/>
      <c r="AW16" s="5" t="e" vm="1">
        <f t="shared" ca="1" si="6"/>
        <v>#VALUE!</v>
      </c>
      <c r="AX16" s="5" t="e" vm="1">
        <f t="shared" ca="1" si="7"/>
        <v>#VALUE!</v>
      </c>
      <c r="BE16" s="32"/>
      <c r="BF16" s="32" t="e" cm="1" vm="2">
        <f t="array" aca="1" ref="BF16" ca="1">INDEX(DataBase!$C$3:$C$62,Calendar!$BE16,1)</f>
        <v>#VALUE!</v>
      </c>
      <c r="BG16" s="32" t="e" cm="1" vm="2">
        <f t="array" aca="1" ref="BG16" ca="1">INDEX(DataBase!$D$3:$D$62,Calendar!$BE16,1)</f>
        <v>#VALUE!</v>
      </c>
      <c r="BH16" s="32" t="e" cm="1" vm="2">
        <f t="array" aca="1" ref="BH16" ca="1">INDEX(DataBase!$E$3:$E$62,Calendar!$BE16,1)</f>
        <v>#VALUE!</v>
      </c>
    </row>
    <row r="17" spans="1:60" ht="15.45" customHeight="1" x14ac:dyDescent="0.3">
      <c r="A17" s="7"/>
      <c r="C17" s="5"/>
      <c r="E17" s="30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48"/>
      <c r="AW17" s="5">
        <f t="shared" si="6"/>
        <v>0</v>
      </c>
      <c r="AX17" s="5">
        <f t="shared" si="7"/>
        <v>0</v>
      </c>
      <c r="BE17" s="32"/>
      <c r="BF17" s="32" cm="1">
        <f t="array" ref="BF17:BF76">INDEX(DataBase!$C$3:$C$62,Calendar!$BE17,1)</f>
        <v>0</v>
      </c>
      <c r="BG17" s="32" cm="1">
        <f t="array" ref="BG17:BG76">INDEX(DataBase!$D$3:$D$62,Calendar!$BE17,1)</f>
        <v>0</v>
      </c>
      <c r="BH17" s="32" cm="1">
        <f t="array" ref="BH17:BH76">INDEX(DataBase!$E$3:$E$62,Calendar!$BE17,1)</f>
        <v>0</v>
      </c>
    </row>
    <row r="18" spans="1:60" ht="15.45" customHeight="1" x14ac:dyDescent="0.3">
      <c r="A18" s="7"/>
      <c r="C18" s="5"/>
      <c r="E18" s="4"/>
      <c r="BF18">
        <v>0</v>
      </c>
      <c r="BG18">
        <v>0</v>
      </c>
      <c r="BH18">
        <v>0</v>
      </c>
    </row>
    <row r="19" spans="1:60" ht="15.45" customHeight="1" x14ac:dyDescent="0.3">
      <c r="A19" s="7"/>
      <c r="C19" s="5"/>
      <c r="E19" s="4"/>
      <c r="BF19">
        <v>0</v>
      </c>
      <c r="BG19">
        <v>0</v>
      </c>
      <c r="BH19">
        <v>0</v>
      </c>
    </row>
    <row r="20" spans="1:60" ht="15.45" customHeight="1" x14ac:dyDescent="0.3">
      <c r="A20" s="7"/>
      <c r="C20" s="5"/>
      <c r="E20" s="4"/>
      <c r="BF20">
        <v>0</v>
      </c>
      <c r="BG20">
        <v>0</v>
      </c>
      <c r="BH20">
        <v>0</v>
      </c>
    </row>
    <row r="21" spans="1:60" ht="15.45" customHeight="1" x14ac:dyDescent="0.3">
      <c r="A21" s="7"/>
      <c r="C21" s="5"/>
      <c r="E21" s="4"/>
      <c r="BF21">
        <v>0</v>
      </c>
      <c r="BG21">
        <v>0</v>
      </c>
      <c r="BH21">
        <v>0</v>
      </c>
    </row>
    <row r="22" spans="1:60" ht="15.45" customHeight="1" x14ac:dyDescent="0.3">
      <c r="A22" s="7"/>
      <c r="C22" s="5"/>
      <c r="E22" s="4"/>
      <c r="BF22">
        <v>0</v>
      </c>
      <c r="BG22">
        <v>0</v>
      </c>
      <c r="BH22">
        <v>0</v>
      </c>
    </row>
    <row r="23" spans="1:60" ht="15.45" customHeight="1" x14ac:dyDescent="0.3">
      <c r="A23" s="7"/>
      <c r="C23" s="5"/>
      <c r="E23" s="4"/>
      <c r="BF23">
        <v>0</v>
      </c>
      <c r="BG23">
        <v>0</v>
      </c>
      <c r="BH23">
        <v>0</v>
      </c>
    </row>
    <row r="24" spans="1:60" ht="15.45" customHeight="1" x14ac:dyDescent="0.3">
      <c r="A24" s="7"/>
      <c r="C24" s="5"/>
      <c r="E24" s="4"/>
      <c r="BF24">
        <v>0</v>
      </c>
      <c r="BG24">
        <v>0</v>
      </c>
      <c r="BH24">
        <v>0</v>
      </c>
    </row>
    <row r="25" spans="1:60" ht="15.45" customHeight="1" x14ac:dyDescent="0.3">
      <c r="A25" s="7"/>
      <c r="C25" s="5"/>
      <c r="E25" s="4"/>
      <c r="BF25">
        <v>0</v>
      </c>
      <c r="BG25">
        <v>0</v>
      </c>
      <c r="BH25">
        <v>0</v>
      </c>
    </row>
    <row r="26" spans="1:60" ht="15.45" customHeight="1" x14ac:dyDescent="0.3">
      <c r="A26" s="7"/>
      <c r="C26" s="5"/>
      <c r="E26" s="4"/>
      <c r="BF26">
        <v>0</v>
      </c>
      <c r="BG26">
        <v>0</v>
      </c>
      <c r="BH26">
        <v>0</v>
      </c>
    </row>
    <row r="27" spans="1:60" ht="15.45" customHeight="1" x14ac:dyDescent="0.3">
      <c r="A27" s="7"/>
      <c r="C27" s="5"/>
      <c r="E27" s="4"/>
      <c r="BF27">
        <v>0</v>
      </c>
      <c r="BG27">
        <v>0</v>
      </c>
      <c r="BH27">
        <v>0</v>
      </c>
    </row>
    <row r="28" spans="1:60" ht="15.45" customHeight="1" x14ac:dyDescent="0.3">
      <c r="A28" s="7"/>
      <c r="C28" s="5"/>
      <c r="E28" s="4"/>
      <c r="BF28">
        <v>0</v>
      </c>
      <c r="BG28">
        <v>0</v>
      </c>
      <c r="BH28">
        <v>0</v>
      </c>
    </row>
    <row r="29" spans="1:60" ht="15.45" customHeight="1" x14ac:dyDescent="0.3">
      <c r="A29" s="7"/>
      <c r="C29" s="5"/>
      <c r="E29" s="4"/>
      <c r="BF29">
        <v>0</v>
      </c>
      <c r="BG29">
        <v>0</v>
      </c>
      <c r="BH29">
        <v>0</v>
      </c>
    </row>
    <row r="30" spans="1:60" x14ac:dyDescent="0.3">
      <c r="A30" s="7"/>
      <c r="C30" s="5"/>
      <c r="BF30">
        <v>0</v>
      </c>
      <c r="BG30">
        <v>0</v>
      </c>
      <c r="BH30">
        <v>0</v>
      </c>
    </row>
    <row r="31" spans="1:60" x14ac:dyDescent="0.3">
      <c r="A31" s="7"/>
      <c r="C31" s="5"/>
      <c r="BF31">
        <v>0</v>
      </c>
      <c r="BG31">
        <v>0</v>
      </c>
      <c r="BH31">
        <v>0</v>
      </c>
    </row>
    <row r="32" spans="1:60" x14ac:dyDescent="0.3">
      <c r="A32" s="7"/>
      <c r="C32" s="5"/>
      <c r="BF32">
        <v>0</v>
      </c>
      <c r="BG32">
        <v>0</v>
      </c>
      <c r="BH32">
        <v>0</v>
      </c>
    </row>
    <row r="33" spans="1:60" x14ac:dyDescent="0.3">
      <c r="A33" s="7"/>
      <c r="C33" s="5"/>
      <c r="BF33">
        <v>0</v>
      </c>
      <c r="BG33">
        <v>0</v>
      </c>
      <c r="BH33">
        <v>0</v>
      </c>
    </row>
    <row r="34" spans="1:60" x14ac:dyDescent="0.3">
      <c r="A34" s="7"/>
      <c r="C34" s="5"/>
      <c r="BF34">
        <v>0</v>
      </c>
      <c r="BG34">
        <v>0</v>
      </c>
      <c r="BH34">
        <v>0</v>
      </c>
    </row>
    <row r="35" spans="1:60" x14ac:dyDescent="0.3">
      <c r="A35" s="7"/>
      <c r="C35" s="5"/>
      <c r="BF35">
        <v>0</v>
      </c>
      <c r="BG35">
        <v>0</v>
      </c>
      <c r="BH35">
        <v>0</v>
      </c>
    </row>
    <row r="36" spans="1:60" x14ac:dyDescent="0.3">
      <c r="A36" s="7"/>
      <c r="C36" s="5"/>
      <c r="BF36">
        <v>0</v>
      </c>
      <c r="BG36">
        <v>0</v>
      </c>
      <c r="BH36">
        <v>0</v>
      </c>
    </row>
    <row r="37" spans="1:60" x14ac:dyDescent="0.3">
      <c r="A37" s="7"/>
      <c r="C37" s="5"/>
      <c r="BF37">
        <v>0</v>
      </c>
      <c r="BG37">
        <v>0</v>
      </c>
      <c r="BH37">
        <v>0</v>
      </c>
    </row>
    <row r="38" spans="1:60" x14ac:dyDescent="0.3">
      <c r="C38" s="5"/>
      <c r="BF38">
        <v>0</v>
      </c>
      <c r="BG38">
        <v>0</v>
      </c>
      <c r="BH38">
        <v>0</v>
      </c>
    </row>
    <row r="39" spans="1:60" x14ac:dyDescent="0.3">
      <c r="C39" s="5"/>
      <c r="BF39">
        <v>0</v>
      </c>
      <c r="BG39">
        <v>0</v>
      </c>
      <c r="BH39">
        <v>0</v>
      </c>
    </row>
    <row r="40" spans="1:60" x14ac:dyDescent="0.3">
      <c r="BF40">
        <v>0</v>
      </c>
      <c r="BG40">
        <v>0</v>
      </c>
      <c r="BH40">
        <v>0</v>
      </c>
    </row>
    <row r="41" spans="1:60" x14ac:dyDescent="0.3">
      <c r="BF41">
        <v>0</v>
      </c>
      <c r="BG41">
        <v>0</v>
      </c>
      <c r="BH41">
        <v>0</v>
      </c>
    </row>
    <row r="42" spans="1:60" x14ac:dyDescent="0.3">
      <c r="BF42">
        <v>0</v>
      </c>
      <c r="BG42">
        <v>0</v>
      </c>
      <c r="BH42">
        <v>0</v>
      </c>
    </row>
    <row r="43" spans="1:60" x14ac:dyDescent="0.3">
      <c r="BF43">
        <v>0</v>
      </c>
      <c r="BG43">
        <v>0</v>
      </c>
      <c r="BH43">
        <v>0</v>
      </c>
    </row>
    <row r="44" spans="1:60" x14ac:dyDescent="0.3">
      <c r="BF44">
        <v>0</v>
      </c>
      <c r="BG44">
        <v>0</v>
      </c>
      <c r="BH44">
        <v>0</v>
      </c>
    </row>
    <row r="45" spans="1:60" x14ac:dyDescent="0.3">
      <c r="BF45">
        <v>0</v>
      </c>
      <c r="BG45">
        <v>0</v>
      </c>
      <c r="BH45">
        <v>0</v>
      </c>
    </row>
    <row r="46" spans="1:60" x14ac:dyDescent="0.3">
      <c r="BF46">
        <v>0</v>
      </c>
      <c r="BG46">
        <v>0</v>
      </c>
      <c r="BH46">
        <v>0</v>
      </c>
    </row>
    <row r="47" spans="1:60" x14ac:dyDescent="0.3">
      <c r="BF47">
        <v>0</v>
      </c>
      <c r="BG47">
        <v>0</v>
      </c>
      <c r="BH47">
        <v>0</v>
      </c>
    </row>
    <row r="48" spans="1:60" x14ac:dyDescent="0.3">
      <c r="BF48">
        <v>0</v>
      </c>
      <c r="BG48">
        <v>0</v>
      </c>
      <c r="BH48">
        <v>0</v>
      </c>
    </row>
    <row r="49" spans="58:60" x14ac:dyDescent="0.3">
      <c r="BF49">
        <v>0</v>
      </c>
      <c r="BG49">
        <v>0</v>
      </c>
      <c r="BH49">
        <v>0</v>
      </c>
    </row>
    <row r="50" spans="58:60" x14ac:dyDescent="0.3">
      <c r="BF50">
        <v>0</v>
      </c>
      <c r="BG50">
        <v>0</v>
      </c>
      <c r="BH50">
        <v>0</v>
      </c>
    </row>
    <row r="51" spans="58:60" x14ac:dyDescent="0.3">
      <c r="BF51">
        <v>0</v>
      </c>
      <c r="BG51">
        <v>0</v>
      </c>
      <c r="BH51">
        <v>0</v>
      </c>
    </row>
    <row r="52" spans="58:60" x14ac:dyDescent="0.3">
      <c r="BF52">
        <v>0</v>
      </c>
      <c r="BG52">
        <v>0</v>
      </c>
      <c r="BH52">
        <v>0</v>
      </c>
    </row>
    <row r="53" spans="58:60" x14ac:dyDescent="0.3">
      <c r="BF53">
        <v>0</v>
      </c>
      <c r="BG53">
        <v>0</v>
      </c>
      <c r="BH53">
        <v>0</v>
      </c>
    </row>
    <row r="54" spans="58:60" x14ac:dyDescent="0.3">
      <c r="BF54">
        <v>0</v>
      </c>
      <c r="BG54">
        <v>0</v>
      </c>
      <c r="BH54">
        <v>0</v>
      </c>
    </row>
    <row r="55" spans="58:60" x14ac:dyDescent="0.3">
      <c r="BF55">
        <v>0</v>
      </c>
      <c r="BG55">
        <v>0</v>
      </c>
      <c r="BH55">
        <v>0</v>
      </c>
    </row>
    <row r="56" spans="58:60" x14ac:dyDescent="0.3">
      <c r="BF56">
        <v>0</v>
      </c>
      <c r="BG56">
        <v>0</v>
      </c>
      <c r="BH56">
        <v>0</v>
      </c>
    </row>
    <row r="57" spans="58:60" x14ac:dyDescent="0.3">
      <c r="BF57">
        <v>0</v>
      </c>
      <c r="BG57">
        <v>0</v>
      </c>
      <c r="BH57">
        <v>0</v>
      </c>
    </row>
    <row r="58" spans="58:60" x14ac:dyDescent="0.3">
      <c r="BF58">
        <v>0</v>
      </c>
      <c r="BG58">
        <v>0</v>
      </c>
      <c r="BH58">
        <v>0</v>
      </c>
    </row>
    <row r="59" spans="58:60" x14ac:dyDescent="0.3">
      <c r="BF59">
        <v>0</v>
      </c>
      <c r="BG59">
        <v>0</v>
      </c>
      <c r="BH59">
        <v>0</v>
      </c>
    </row>
    <row r="60" spans="58:60" x14ac:dyDescent="0.3">
      <c r="BF60">
        <v>0</v>
      </c>
      <c r="BG60">
        <v>0</v>
      </c>
      <c r="BH60">
        <v>0</v>
      </c>
    </row>
    <row r="61" spans="58:60" x14ac:dyDescent="0.3">
      <c r="BF61">
        <v>0</v>
      </c>
      <c r="BG61">
        <v>0</v>
      </c>
      <c r="BH61">
        <v>0</v>
      </c>
    </row>
    <row r="62" spans="58:60" x14ac:dyDescent="0.3">
      <c r="BF62">
        <v>0</v>
      </c>
      <c r="BG62">
        <v>0</v>
      </c>
      <c r="BH62">
        <v>0</v>
      </c>
    </row>
    <row r="63" spans="58:60" x14ac:dyDescent="0.3">
      <c r="BF63">
        <v>0</v>
      </c>
      <c r="BG63">
        <v>0</v>
      </c>
      <c r="BH63">
        <v>0</v>
      </c>
    </row>
    <row r="64" spans="58:60" x14ac:dyDescent="0.3">
      <c r="BF64">
        <v>0</v>
      </c>
      <c r="BG64">
        <v>0</v>
      </c>
      <c r="BH64">
        <v>0</v>
      </c>
    </row>
    <row r="65" spans="58:60" x14ac:dyDescent="0.3">
      <c r="BF65">
        <v>0</v>
      </c>
      <c r="BG65">
        <v>0</v>
      </c>
      <c r="BH65">
        <v>0</v>
      </c>
    </row>
    <row r="66" spans="58:60" x14ac:dyDescent="0.3">
      <c r="BF66">
        <v>0</v>
      </c>
      <c r="BG66">
        <v>0</v>
      </c>
      <c r="BH66">
        <v>0</v>
      </c>
    </row>
    <row r="67" spans="58:60" x14ac:dyDescent="0.3">
      <c r="BF67">
        <v>0</v>
      </c>
      <c r="BG67">
        <v>0</v>
      </c>
      <c r="BH67">
        <v>0</v>
      </c>
    </row>
    <row r="68" spans="58:60" x14ac:dyDescent="0.3">
      <c r="BF68">
        <v>0</v>
      </c>
      <c r="BG68">
        <v>0</v>
      </c>
      <c r="BH68">
        <v>0</v>
      </c>
    </row>
    <row r="69" spans="58:60" x14ac:dyDescent="0.3">
      <c r="BF69">
        <v>0</v>
      </c>
      <c r="BG69">
        <v>0</v>
      </c>
      <c r="BH69">
        <v>0</v>
      </c>
    </row>
    <row r="70" spans="58:60" x14ac:dyDescent="0.3">
      <c r="BF70">
        <v>0</v>
      </c>
      <c r="BG70">
        <v>0</v>
      </c>
      <c r="BH70">
        <v>0</v>
      </c>
    </row>
    <row r="71" spans="58:60" x14ac:dyDescent="0.3">
      <c r="BF71">
        <v>0</v>
      </c>
      <c r="BG71">
        <v>0</v>
      </c>
      <c r="BH71">
        <v>0</v>
      </c>
    </row>
    <row r="72" spans="58:60" x14ac:dyDescent="0.3">
      <c r="BF72">
        <v>0</v>
      </c>
      <c r="BG72">
        <v>0</v>
      </c>
      <c r="BH72">
        <v>0</v>
      </c>
    </row>
    <row r="73" spans="58:60" x14ac:dyDescent="0.3">
      <c r="BF73">
        <v>0</v>
      </c>
      <c r="BG73">
        <v>0</v>
      </c>
      <c r="BH73">
        <v>0</v>
      </c>
    </row>
    <row r="74" spans="58:60" x14ac:dyDescent="0.3">
      <c r="BF74">
        <v>0</v>
      </c>
      <c r="BG74">
        <v>0</v>
      </c>
      <c r="BH74">
        <v>0</v>
      </c>
    </row>
    <row r="75" spans="58:60" x14ac:dyDescent="0.3">
      <c r="BF75">
        <v>0</v>
      </c>
      <c r="BG75">
        <v>0</v>
      </c>
      <c r="BH75">
        <v>0</v>
      </c>
    </row>
    <row r="76" spans="58:60" x14ac:dyDescent="0.3">
      <c r="BF76">
        <v>0</v>
      </c>
      <c r="BG76">
        <v>0</v>
      </c>
      <c r="BH76">
        <v>0</v>
      </c>
    </row>
  </sheetData>
  <mergeCells count="1">
    <mergeCell ref="E4:E5"/>
  </mergeCells>
  <phoneticPr fontId="2" type="noConversion"/>
  <conditionalFormatting sqref="C7:D37">
    <cfRule type="cellIs" dxfId="22" priority="9" operator="equal">
      <formula>"Sunday"</formula>
    </cfRule>
  </conditionalFormatting>
  <conditionalFormatting sqref="F4:AV5">
    <cfRule type="expression" dxfId="21" priority="8">
      <formula>F$3=7</formula>
    </cfRule>
  </conditionalFormatting>
  <conditionalFormatting sqref="F6:AU17">
    <cfRule type="expression" dxfId="20" priority="11">
      <formula>AND(F$4&gt;=$AW6,F$4&lt;=$AX6)</formula>
    </cfRule>
  </conditionalFormatting>
  <conditionalFormatting sqref="AW6:AX17">
    <cfRule type="containsErrors" dxfId="19" priority="1">
      <formula>ISERROR(AW6)</formula>
    </cfRule>
  </conditionalFormatting>
  <dataValidations count="3">
    <dataValidation type="list" allowBlank="1" showInputMessage="1" showErrorMessage="1" sqref="C2" xr:uid="{1C127DCA-9272-434B-8BCE-BF1364FFDFE6}">
      <formula1>Month</formula1>
    </dataValidation>
    <dataValidation type="list" allowBlank="1" showInputMessage="1" showErrorMessage="1" sqref="B2" xr:uid="{45666520-6227-415C-9582-D006C323CC94}">
      <formula1>Year</formula1>
    </dataValidation>
    <dataValidation type="list" allowBlank="1" showInputMessage="1" showErrorMessage="1" sqref="E4" xr:uid="{3D0F225E-6A86-4A4A-928B-518A6BD71133}">
      <formula1>RoomType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2AD68-2A8A-4DFE-B5B3-869A1CDF490B}">
  <sheetPr codeName="Sheet3">
    <tabColor rgb="FFFFC000"/>
  </sheetPr>
  <dimension ref="B2:D19"/>
  <sheetViews>
    <sheetView showGridLines="0" showRowColHeaders="0" workbookViewId="0">
      <selection activeCell="I32" sqref="I32"/>
    </sheetView>
  </sheetViews>
  <sheetFormatPr defaultRowHeight="14.4" x14ac:dyDescent="0.3"/>
  <cols>
    <col min="2" max="2" width="14.33203125" bestFit="1" customWidth="1"/>
    <col min="3" max="4" width="5.21875" bestFit="1" customWidth="1"/>
    <col min="5" max="5" width="10.5546875" bestFit="1" customWidth="1"/>
  </cols>
  <sheetData>
    <row r="2" spans="2:4" x14ac:dyDescent="0.3">
      <c r="D2" s="52"/>
    </row>
    <row r="4" spans="2:4" x14ac:dyDescent="0.3">
      <c r="B4" s="51" t="s">
        <v>98</v>
      </c>
    </row>
    <row r="5" spans="2:4" x14ac:dyDescent="0.3">
      <c r="C5" t="s">
        <v>101</v>
      </c>
    </row>
    <row r="6" spans="2:4" x14ac:dyDescent="0.3">
      <c r="B6" t="s">
        <v>16</v>
      </c>
      <c r="C6">
        <v>2</v>
      </c>
    </row>
    <row r="7" spans="2:4" x14ac:dyDescent="0.3">
      <c r="B7" t="s">
        <v>25</v>
      </c>
      <c r="C7">
        <v>3</v>
      </c>
    </row>
    <row r="8" spans="2:4" x14ac:dyDescent="0.3">
      <c r="B8" t="s">
        <v>26</v>
      </c>
      <c r="C8">
        <v>2</v>
      </c>
    </row>
    <row r="9" spans="2:4" x14ac:dyDescent="0.3">
      <c r="B9" t="s">
        <v>17</v>
      </c>
      <c r="C9">
        <v>24</v>
      </c>
    </row>
    <row r="10" spans="2:4" x14ac:dyDescent="0.3">
      <c r="B10" t="s">
        <v>18</v>
      </c>
      <c r="C10">
        <v>15</v>
      </c>
    </row>
    <row r="11" spans="2:4" x14ac:dyDescent="0.3">
      <c r="B11" t="s">
        <v>19</v>
      </c>
      <c r="C11">
        <v>2</v>
      </c>
    </row>
    <row r="12" spans="2:4" x14ac:dyDescent="0.3">
      <c r="B12" t="s">
        <v>22</v>
      </c>
      <c r="C12">
        <v>3</v>
      </c>
    </row>
    <row r="13" spans="2:4" x14ac:dyDescent="0.3">
      <c r="B13" t="s">
        <v>7</v>
      </c>
      <c r="C13">
        <v>1</v>
      </c>
    </row>
    <row r="14" spans="2:4" x14ac:dyDescent="0.3">
      <c r="B14" t="s">
        <v>10</v>
      </c>
      <c r="C14">
        <v>2</v>
      </c>
    </row>
    <row r="15" spans="2:4" x14ac:dyDescent="0.3">
      <c r="B15" t="s">
        <v>12</v>
      </c>
      <c r="C15">
        <v>2</v>
      </c>
    </row>
    <row r="16" spans="2:4" x14ac:dyDescent="0.3">
      <c r="B16" t="s">
        <v>6</v>
      </c>
      <c r="C16">
        <v>2</v>
      </c>
    </row>
    <row r="17" spans="2:3" x14ac:dyDescent="0.3">
      <c r="B17" t="s">
        <v>14</v>
      </c>
      <c r="C17">
        <v>1</v>
      </c>
    </row>
    <row r="18" spans="2:3" x14ac:dyDescent="0.3">
      <c r="B18" t="s">
        <v>11</v>
      </c>
      <c r="C18">
        <v>1</v>
      </c>
    </row>
    <row r="19" spans="2:3" x14ac:dyDescent="0.3">
      <c r="B19" t="s">
        <v>99</v>
      </c>
      <c r="C19">
        <v>60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378F-25E9-44F4-B21F-1AE7E1E4AEE4}">
  <sheetPr codeName="Sh_DB">
    <tabColor rgb="FFFF0000"/>
  </sheetPr>
  <dimension ref="B1:AI62"/>
  <sheetViews>
    <sheetView zoomScaleNormal="100" workbookViewId="0">
      <selection activeCell="B18" sqref="B18"/>
    </sheetView>
  </sheetViews>
  <sheetFormatPr defaultRowHeight="14.4" x14ac:dyDescent="0.3"/>
  <cols>
    <col min="3" max="3" width="11.33203125" style="15" bestFit="1" customWidth="1"/>
    <col min="4" max="4" width="12.33203125" style="4" bestFit="1" customWidth="1"/>
    <col min="5" max="5" width="11.33203125" style="4" bestFit="1" customWidth="1"/>
    <col min="6" max="6" width="12.88671875" style="4" bestFit="1" customWidth="1"/>
    <col min="7" max="8" width="11.5546875" style="4" bestFit="1" customWidth="1"/>
    <col min="9" max="9" width="9.33203125" style="4" bestFit="1" customWidth="1"/>
    <col min="10" max="10" width="7.6640625" style="4" bestFit="1" customWidth="1"/>
    <col min="11" max="12" width="7.6640625" style="4" customWidth="1"/>
    <col min="13" max="14" width="8.44140625" style="4" bestFit="1" customWidth="1"/>
    <col min="15" max="15" width="11.6640625" style="4" bestFit="1" customWidth="1"/>
    <col min="16" max="22" width="8.88671875" style="4"/>
    <col min="23" max="23" width="4.44140625" bestFit="1" customWidth="1"/>
    <col min="24" max="24" width="4" customWidth="1"/>
    <col min="25" max="25" width="4.6640625" customWidth="1"/>
    <col min="27" max="27" width="4.44140625" customWidth="1"/>
    <col min="32" max="32" width="5.6640625" customWidth="1"/>
  </cols>
  <sheetData>
    <row r="1" spans="2:35" x14ac:dyDescent="0.3">
      <c r="C1" s="75" t="s">
        <v>100</v>
      </c>
      <c r="D1" s="75"/>
      <c r="E1" s="75"/>
      <c r="F1" s="75"/>
      <c r="G1" s="75"/>
      <c r="H1" s="75"/>
      <c r="I1" s="75"/>
      <c r="J1" s="75"/>
      <c r="AH1" s="74" t="s">
        <v>95</v>
      </c>
      <c r="AI1" s="74"/>
    </row>
    <row r="2" spans="2:35" x14ac:dyDescent="0.3">
      <c r="C2" s="49" t="s">
        <v>73</v>
      </c>
      <c r="D2" s="50" t="s">
        <v>74</v>
      </c>
      <c r="E2" s="50" t="s">
        <v>75</v>
      </c>
      <c r="F2" s="50" t="s">
        <v>40</v>
      </c>
      <c r="G2" s="50" t="s">
        <v>79</v>
      </c>
      <c r="H2" s="50" t="s">
        <v>76</v>
      </c>
      <c r="I2" s="50" t="s">
        <v>77</v>
      </c>
      <c r="J2" s="50" t="s">
        <v>78</v>
      </c>
      <c r="K2" s="50" t="s">
        <v>43</v>
      </c>
      <c r="L2" s="39"/>
      <c r="M2" s="38" t="s">
        <v>73</v>
      </c>
      <c r="N2" s="17" t="s">
        <v>74</v>
      </c>
      <c r="O2" s="36" t="s">
        <v>88</v>
      </c>
      <c r="P2" s="36" t="s">
        <v>90</v>
      </c>
      <c r="Q2" s="36" t="s">
        <v>91</v>
      </c>
      <c r="R2" s="36" t="s">
        <v>92</v>
      </c>
      <c r="S2" s="36" t="s">
        <v>93</v>
      </c>
      <c r="T2" s="36" t="s">
        <v>89</v>
      </c>
      <c r="U2" s="36" t="s">
        <v>94</v>
      </c>
      <c r="V2" s="36" t="s">
        <v>65</v>
      </c>
      <c r="W2" s="36" t="s">
        <v>96</v>
      </c>
      <c r="X2" s="36" t="s">
        <v>97</v>
      </c>
      <c r="Z2" s="43" t="str">
        <f>TEXT(Home!$E$14,"dd-mm-yy")</f>
        <v>10-09-23</v>
      </c>
      <c r="AB2" t="s">
        <v>79</v>
      </c>
      <c r="AC2" t="s">
        <v>77</v>
      </c>
      <c r="AD2" t="s">
        <v>75</v>
      </c>
      <c r="AE2" t="s">
        <v>78</v>
      </c>
      <c r="AG2" s="42" t="str">
        <f>Home!I10</f>
        <v>B7</v>
      </c>
      <c r="AH2" s="40" t="str">
        <f>Check_in</f>
        <v>10-10-24</v>
      </c>
      <c r="AI2" s="40" t="str">
        <f>Check_out</f>
        <v>11-10-24</v>
      </c>
    </row>
    <row r="3" spans="2:35" x14ac:dyDescent="0.3">
      <c r="F3" s="15"/>
      <c r="K3" s="4">
        <f>MONTH(DataBase[[#This Row],[Check-in]])</f>
        <v>1</v>
      </c>
      <c r="M3" s="15">
        <f>--C3</f>
        <v>0</v>
      </c>
      <c r="N3" s="15">
        <f>--D3</f>
        <v>0</v>
      </c>
      <c r="O3" s="4">
        <f>IF(MATCH(Calendar!$C$2,Month,0)=MONTH($C3),1,0)</f>
        <v>0</v>
      </c>
      <c r="P3" s="4" t="b">
        <f>AND($AH$3&gt;=M3,$AI$3&lt;=N3)</f>
        <v>0</v>
      </c>
      <c r="Q3" s="37" t="b">
        <f>AND($AH$3&lt;=N3,$AI$3&gt;N3)</f>
        <v>0</v>
      </c>
      <c r="R3" s="4" t="b">
        <f>AND($AH$3&lt;M3,$AI$3&gt;=M3)</f>
        <v>0</v>
      </c>
      <c r="S3" s="4" t="b">
        <f>AND($AH$3&lt;=M3,$AI$3&gt;=N3)</f>
        <v>0</v>
      </c>
      <c r="T3" s="4" t="b">
        <f>IF(OR(P3,Q3,R3,S3),FALSE,TRUE)</f>
        <v>1</v>
      </c>
      <c r="U3" s="4" t="str">
        <f t="shared" ref="U3:U34" si="0">IF(V3=FALSE,"Avai",IF(T3,"Avai","Unvai"))</f>
        <v>Avai</v>
      </c>
      <c r="V3" s="4" t="b">
        <f>G3=$AG$2</f>
        <v>0</v>
      </c>
      <c r="W3">
        <f t="shared" ref="W3:W34" si="1">IF($C3=$Z$2,1,0)</f>
        <v>0</v>
      </c>
      <c r="X3">
        <f>Y2+W3</f>
        <v>0</v>
      </c>
      <c r="AA3">
        <f>ROW(A1)</f>
        <v>1</v>
      </c>
      <c r="AB3" s="24" t="e">
        <f t="shared" ref="AB3:AE22" si="2">INDEX($C$3:$J$62,MATCH($AA3,$X$3:$X$62,0),MATCH(AB$2,$C$2:$J$2,0))</f>
        <v>#N/A</v>
      </c>
      <c r="AC3" s="24" t="e">
        <f t="shared" si="2"/>
        <v>#N/A</v>
      </c>
      <c r="AD3" s="24" t="e">
        <f t="shared" si="2"/>
        <v>#N/A</v>
      </c>
      <c r="AE3" s="24" t="e">
        <f t="shared" si="2"/>
        <v>#N/A</v>
      </c>
      <c r="AH3" s="41">
        <f>--AH2</f>
        <v>45575</v>
      </c>
      <c r="AI3" s="41">
        <f>--AI2</f>
        <v>45576</v>
      </c>
    </row>
    <row r="4" spans="2:35" x14ac:dyDescent="0.3">
      <c r="F4" s="15"/>
      <c r="K4" s="4">
        <f>MONTH(DataBase[[#This Row],[Check-in]])</f>
        <v>1</v>
      </c>
      <c r="M4" s="15">
        <f t="shared" ref="M4:M62" si="3">--C4</f>
        <v>0</v>
      </c>
      <c r="N4" s="15">
        <f t="shared" ref="N4:N62" si="4">--D4</f>
        <v>0</v>
      </c>
      <c r="O4" s="4">
        <f>IF(MATCH(Calendar!$C$2,Month,0)=MONTH($C4),1,0)</f>
        <v>0</v>
      </c>
      <c r="P4" s="4" t="b">
        <f t="shared" ref="P4:P35" si="5">AND($AH$3&gt;=C4,$AI$3&lt;=D4)</f>
        <v>0</v>
      </c>
      <c r="Q4" s="37" t="b">
        <f t="shared" ref="Q4:Q62" si="6">AND($AH$3&lt;=N4,$AI$3&gt;N4)</f>
        <v>0</v>
      </c>
      <c r="R4" s="4" t="b">
        <f t="shared" ref="R4:R62" si="7">AND($AH$3&lt;M4,$AI$3&gt;=M4)</f>
        <v>0</v>
      </c>
      <c r="S4" s="4" t="b">
        <f t="shared" ref="S4:S62" si="8">AND($AH$3&lt;=M4,$AI$3&gt;=N4)</f>
        <v>0</v>
      </c>
      <c r="T4" s="4" t="b">
        <f t="shared" ref="T4:T62" si="9">IF(OR(P4,Q4,R4,S4),FALSE,TRUE)</f>
        <v>1</v>
      </c>
      <c r="U4" s="4" t="str">
        <f t="shared" si="0"/>
        <v>Avai</v>
      </c>
      <c r="V4" s="4" t="b">
        <f t="shared" ref="V4:V62" si="10">G4=$AG$2</f>
        <v>0</v>
      </c>
      <c r="W4">
        <f t="shared" si="1"/>
        <v>0</v>
      </c>
      <c r="X4">
        <f t="shared" ref="X4:X35" si="11">X3+W4</f>
        <v>0</v>
      </c>
      <c r="Z4" t="s">
        <v>85</v>
      </c>
      <c r="AA4">
        <f t="shared" ref="AA4:AA22" si="12">ROW(A2)</f>
        <v>2</v>
      </c>
      <c r="AB4" s="24" t="e">
        <f t="shared" si="2"/>
        <v>#N/A</v>
      </c>
      <c r="AC4" s="24" t="e">
        <f t="shared" si="2"/>
        <v>#N/A</v>
      </c>
      <c r="AD4" s="24" t="e">
        <f t="shared" si="2"/>
        <v>#N/A</v>
      </c>
      <c r="AE4" s="24" t="e">
        <f t="shared" si="2"/>
        <v>#N/A</v>
      </c>
    </row>
    <row r="5" spans="2:35" x14ac:dyDescent="0.3">
      <c r="F5" s="15"/>
      <c r="K5" s="4">
        <f>MONTH(DataBase[[#This Row],[Check-in]])</f>
        <v>1</v>
      </c>
      <c r="M5" s="15">
        <f t="shared" si="3"/>
        <v>0</v>
      </c>
      <c r="N5" s="15">
        <f t="shared" si="4"/>
        <v>0</v>
      </c>
      <c r="O5" s="4">
        <f>IF(MATCH(Calendar!$C$2,Month,0)=MONTH($C5),1,0)</f>
        <v>0</v>
      </c>
      <c r="P5" s="4" t="b">
        <f t="shared" si="5"/>
        <v>0</v>
      </c>
      <c r="Q5" s="37" t="b">
        <f t="shared" si="6"/>
        <v>0</v>
      </c>
      <c r="R5" s="4" t="b">
        <f t="shared" si="7"/>
        <v>0</v>
      </c>
      <c r="S5" s="4" t="b">
        <f t="shared" si="8"/>
        <v>0</v>
      </c>
      <c r="T5" s="4" t="b">
        <f t="shared" si="9"/>
        <v>1</v>
      </c>
      <c r="U5" s="4" t="str">
        <f t="shared" si="0"/>
        <v>Avai</v>
      </c>
      <c r="V5" s="4" t="b">
        <f t="shared" si="10"/>
        <v>0</v>
      </c>
      <c r="W5">
        <f t="shared" si="1"/>
        <v>0</v>
      </c>
      <c r="X5">
        <f t="shared" si="11"/>
        <v>0</v>
      </c>
      <c r="Z5" s="26">
        <f>COUNTIF($C$3:$C$62,Z2)</f>
        <v>0</v>
      </c>
      <c r="AA5">
        <f t="shared" si="12"/>
        <v>3</v>
      </c>
      <c r="AB5" s="24" t="e">
        <f t="shared" si="2"/>
        <v>#N/A</v>
      </c>
      <c r="AC5" s="24" t="e">
        <f t="shared" si="2"/>
        <v>#N/A</v>
      </c>
      <c r="AD5" s="24" t="e">
        <f t="shared" si="2"/>
        <v>#N/A</v>
      </c>
      <c r="AE5" s="24" t="e">
        <f t="shared" si="2"/>
        <v>#N/A</v>
      </c>
    </row>
    <row r="6" spans="2:35" x14ac:dyDescent="0.3">
      <c r="F6" s="15"/>
      <c r="K6" s="4">
        <f>MONTH(DataBase[[#This Row],[Check-in]])</f>
        <v>1</v>
      </c>
      <c r="M6" s="15">
        <f t="shared" si="3"/>
        <v>0</v>
      </c>
      <c r="N6" s="15">
        <f t="shared" si="4"/>
        <v>0</v>
      </c>
      <c r="O6" s="4">
        <f>IF(MATCH(Calendar!$C$2,Month,0)=MONTH($C6),1,0)</f>
        <v>0</v>
      </c>
      <c r="P6" s="4" t="b">
        <f t="shared" si="5"/>
        <v>0</v>
      </c>
      <c r="Q6" s="37" t="b">
        <f t="shared" si="6"/>
        <v>0</v>
      </c>
      <c r="R6" s="4" t="b">
        <f t="shared" si="7"/>
        <v>0</v>
      </c>
      <c r="S6" s="4" t="b">
        <f t="shared" si="8"/>
        <v>0</v>
      </c>
      <c r="T6" s="4" t="b">
        <f t="shared" si="9"/>
        <v>1</v>
      </c>
      <c r="U6" s="4" t="str">
        <f t="shared" si="0"/>
        <v>Avai</v>
      </c>
      <c r="V6" s="4" t="b">
        <f t="shared" si="10"/>
        <v>0</v>
      </c>
      <c r="W6">
        <f t="shared" si="1"/>
        <v>0</v>
      </c>
      <c r="X6">
        <f t="shared" si="11"/>
        <v>0</v>
      </c>
      <c r="AA6">
        <f t="shared" si="12"/>
        <v>4</v>
      </c>
      <c r="AB6" s="24" t="e">
        <f t="shared" si="2"/>
        <v>#N/A</v>
      </c>
      <c r="AC6" s="24" t="e">
        <f t="shared" si="2"/>
        <v>#N/A</v>
      </c>
      <c r="AD6" s="24" t="e">
        <f t="shared" si="2"/>
        <v>#N/A</v>
      </c>
      <c r="AE6" s="24" t="e">
        <f t="shared" si="2"/>
        <v>#N/A</v>
      </c>
    </row>
    <row r="7" spans="2:35" x14ac:dyDescent="0.3">
      <c r="F7" s="15"/>
      <c r="K7" s="4">
        <f>MONTH(DataBase[[#This Row],[Check-in]])</f>
        <v>1</v>
      </c>
      <c r="M7" s="15">
        <f t="shared" si="3"/>
        <v>0</v>
      </c>
      <c r="N7" s="15">
        <f t="shared" si="4"/>
        <v>0</v>
      </c>
      <c r="O7" s="4">
        <f>IF(MATCH(Calendar!$C$2,Month,0)=MONTH($C7),1,0)</f>
        <v>0</v>
      </c>
      <c r="P7" s="4" t="b">
        <f t="shared" si="5"/>
        <v>0</v>
      </c>
      <c r="Q7" s="37" t="b">
        <f t="shared" si="6"/>
        <v>0</v>
      </c>
      <c r="R7" s="4" t="b">
        <f t="shared" si="7"/>
        <v>0</v>
      </c>
      <c r="S7" s="4" t="b">
        <f t="shared" si="8"/>
        <v>0</v>
      </c>
      <c r="T7" s="4" t="b">
        <f t="shared" si="9"/>
        <v>1</v>
      </c>
      <c r="U7" s="4" t="str">
        <f t="shared" si="0"/>
        <v>Avai</v>
      </c>
      <c r="V7" s="4" t="b">
        <f t="shared" si="10"/>
        <v>0</v>
      </c>
      <c r="W7">
        <f t="shared" si="1"/>
        <v>0</v>
      </c>
      <c r="X7">
        <f t="shared" si="11"/>
        <v>0</v>
      </c>
      <c r="Z7" t="s">
        <v>84</v>
      </c>
      <c r="AA7">
        <f t="shared" si="12"/>
        <v>5</v>
      </c>
      <c r="AB7" s="24" t="e">
        <f t="shared" si="2"/>
        <v>#N/A</v>
      </c>
      <c r="AC7" s="24" t="e">
        <f t="shared" si="2"/>
        <v>#N/A</v>
      </c>
      <c r="AD7" s="24" t="e">
        <f t="shared" si="2"/>
        <v>#N/A</v>
      </c>
      <c r="AE7" s="24" t="e">
        <f t="shared" si="2"/>
        <v>#N/A</v>
      </c>
    </row>
    <row r="8" spans="2:35" x14ac:dyDescent="0.3">
      <c r="F8" s="15"/>
      <c r="K8" s="4">
        <f>MONTH(DataBase[[#This Row],[Check-in]])</f>
        <v>1</v>
      </c>
      <c r="M8" s="15">
        <f t="shared" si="3"/>
        <v>0</v>
      </c>
      <c r="N8" s="15">
        <f t="shared" si="4"/>
        <v>0</v>
      </c>
      <c r="O8" s="4">
        <f>IF(MATCH(Calendar!$C$2,Month,0)=MONTH($C8),1,0)</f>
        <v>0</v>
      </c>
      <c r="P8" s="4" t="b">
        <f t="shared" si="5"/>
        <v>0</v>
      </c>
      <c r="Q8" s="37" t="b">
        <f t="shared" si="6"/>
        <v>0</v>
      </c>
      <c r="R8" s="4" t="b">
        <f t="shared" si="7"/>
        <v>0</v>
      </c>
      <c r="S8" s="4" t="b">
        <f t="shared" si="8"/>
        <v>0</v>
      </c>
      <c r="T8" s="4" t="b">
        <f t="shared" si="9"/>
        <v>1</v>
      </c>
      <c r="U8" s="4" t="str">
        <f t="shared" si="0"/>
        <v>Avai</v>
      </c>
      <c r="V8" s="4" t="b">
        <f t="shared" si="10"/>
        <v>0</v>
      </c>
      <c r="W8">
        <f t="shared" si="1"/>
        <v>0</v>
      </c>
      <c r="X8">
        <f t="shared" si="11"/>
        <v>0</v>
      </c>
      <c r="Z8" s="27">
        <f>COUNTIFS(DataBase!$C$3:$C$62,Home!$E$10,DataBase!$G$3:$G$62,Home!$I$10)</f>
        <v>0</v>
      </c>
      <c r="AA8">
        <f t="shared" si="12"/>
        <v>6</v>
      </c>
      <c r="AB8" s="24" t="e">
        <f t="shared" si="2"/>
        <v>#N/A</v>
      </c>
      <c r="AC8" s="24" t="e">
        <f t="shared" si="2"/>
        <v>#N/A</v>
      </c>
      <c r="AD8" s="24" t="e">
        <f t="shared" si="2"/>
        <v>#N/A</v>
      </c>
      <c r="AE8" s="24" t="e">
        <f t="shared" si="2"/>
        <v>#N/A</v>
      </c>
    </row>
    <row r="9" spans="2:35" x14ac:dyDescent="0.3">
      <c r="F9" s="15"/>
      <c r="K9" s="4">
        <f>MONTH(DataBase[[#This Row],[Check-in]])</f>
        <v>1</v>
      </c>
      <c r="M9" s="15">
        <f t="shared" si="3"/>
        <v>0</v>
      </c>
      <c r="N9" s="15">
        <f t="shared" si="4"/>
        <v>0</v>
      </c>
      <c r="O9" s="4">
        <f>IF(MATCH(Calendar!$C$2,Month,0)=MONTH($C9),1,0)</f>
        <v>0</v>
      </c>
      <c r="P9" s="4" t="b">
        <f t="shared" si="5"/>
        <v>0</v>
      </c>
      <c r="Q9" s="37" t="b">
        <f t="shared" si="6"/>
        <v>0</v>
      </c>
      <c r="R9" s="4" t="b">
        <f t="shared" si="7"/>
        <v>0</v>
      </c>
      <c r="S9" s="4" t="b">
        <f t="shared" si="8"/>
        <v>0</v>
      </c>
      <c r="T9" s="4" t="b">
        <f t="shared" si="9"/>
        <v>1</v>
      </c>
      <c r="U9" s="4" t="str">
        <f t="shared" si="0"/>
        <v>Avai</v>
      </c>
      <c r="V9" s="4" t="b">
        <f t="shared" si="10"/>
        <v>0</v>
      </c>
      <c r="W9">
        <f t="shared" si="1"/>
        <v>0</v>
      </c>
      <c r="X9">
        <f t="shared" si="11"/>
        <v>0</v>
      </c>
      <c r="AA9">
        <f t="shared" si="12"/>
        <v>7</v>
      </c>
      <c r="AB9" s="24" t="e">
        <f t="shared" si="2"/>
        <v>#N/A</v>
      </c>
      <c r="AC9" s="24" t="e">
        <f t="shared" si="2"/>
        <v>#N/A</v>
      </c>
      <c r="AD9" s="24" t="e">
        <f t="shared" si="2"/>
        <v>#N/A</v>
      </c>
      <c r="AE9" s="24" t="e">
        <f t="shared" si="2"/>
        <v>#N/A</v>
      </c>
    </row>
    <row r="10" spans="2:35" x14ac:dyDescent="0.3">
      <c r="F10" s="15"/>
      <c r="K10" s="4">
        <f>MONTH(DataBase[[#This Row],[Check-in]])</f>
        <v>1</v>
      </c>
      <c r="M10" s="15">
        <f t="shared" si="3"/>
        <v>0</v>
      </c>
      <c r="N10" s="15">
        <f t="shared" si="4"/>
        <v>0</v>
      </c>
      <c r="O10" s="4">
        <f>IF(MATCH(Calendar!$C$2,Month,0)=MONTH($C10),1,0)</f>
        <v>0</v>
      </c>
      <c r="P10" s="4" t="b">
        <f t="shared" si="5"/>
        <v>0</v>
      </c>
      <c r="Q10" s="37" t="b">
        <f t="shared" si="6"/>
        <v>0</v>
      </c>
      <c r="R10" s="4" t="b">
        <f t="shared" si="7"/>
        <v>0</v>
      </c>
      <c r="S10" s="4" t="b">
        <f t="shared" si="8"/>
        <v>0</v>
      </c>
      <c r="T10" s="4" t="b">
        <f t="shared" si="9"/>
        <v>1</v>
      </c>
      <c r="U10" s="4" t="str">
        <f t="shared" si="0"/>
        <v>Avai</v>
      </c>
      <c r="V10" s="4" t="b">
        <f t="shared" si="10"/>
        <v>0</v>
      </c>
      <c r="W10">
        <f t="shared" si="1"/>
        <v>0</v>
      </c>
      <c r="X10">
        <f t="shared" si="11"/>
        <v>0</v>
      </c>
      <c r="AA10">
        <f t="shared" si="12"/>
        <v>8</v>
      </c>
      <c r="AB10" s="24" t="e">
        <f t="shared" si="2"/>
        <v>#N/A</v>
      </c>
      <c r="AC10" s="24" t="e">
        <f t="shared" si="2"/>
        <v>#N/A</v>
      </c>
      <c r="AD10" s="24" t="e">
        <f t="shared" si="2"/>
        <v>#N/A</v>
      </c>
      <c r="AE10" s="24" t="e">
        <f t="shared" si="2"/>
        <v>#N/A</v>
      </c>
    </row>
    <row r="11" spans="2:35" x14ac:dyDescent="0.3">
      <c r="F11" s="15"/>
      <c r="K11" s="4">
        <f>MONTH(DataBase[[#This Row],[Check-in]])</f>
        <v>1</v>
      </c>
      <c r="M11" s="15">
        <f t="shared" si="3"/>
        <v>0</v>
      </c>
      <c r="N11" s="15">
        <f t="shared" si="4"/>
        <v>0</v>
      </c>
      <c r="O11" s="4">
        <f>IF(MATCH(Calendar!$C$2,Month,0)=MONTH($C11),1,0)</f>
        <v>0</v>
      </c>
      <c r="P11" s="4" t="b">
        <f t="shared" si="5"/>
        <v>0</v>
      </c>
      <c r="Q11" s="37" t="b">
        <f t="shared" si="6"/>
        <v>0</v>
      </c>
      <c r="R11" s="4" t="b">
        <f t="shared" si="7"/>
        <v>0</v>
      </c>
      <c r="S11" s="4" t="b">
        <f t="shared" si="8"/>
        <v>0</v>
      </c>
      <c r="T11" s="4" t="b">
        <f t="shared" si="9"/>
        <v>1</v>
      </c>
      <c r="U11" s="4" t="str">
        <f t="shared" si="0"/>
        <v>Avai</v>
      </c>
      <c r="V11" s="4" t="b">
        <f t="shared" si="10"/>
        <v>0</v>
      </c>
      <c r="W11">
        <f t="shared" si="1"/>
        <v>0</v>
      </c>
      <c r="X11">
        <f t="shared" si="11"/>
        <v>0</v>
      </c>
      <c r="AA11">
        <f t="shared" si="12"/>
        <v>9</v>
      </c>
      <c r="AB11" s="24" t="e">
        <f t="shared" si="2"/>
        <v>#N/A</v>
      </c>
      <c r="AC11" s="24" t="e">
        <f t="shared" si="2"/>
        <v>#N/A</v>
      </c>
      <c r="AD11" s="24" t="e">
        <f t="shared" si="2"/>
        <v>#N/A</v>
      </c>
      <c r="AE11" s="24" t="e">
        <f t="shared" si="2"/>
        <v>#N/A</v>
      </c>
    </row>
    <row r="12" spans="2:35" x14ac:dyDescent="0.3">
      <c r="F12" s="15"/>
      <c r="K12" s="4">
        <f>MONTH(DataBase[[#This Row],[Check-in]])</f>
        <v>1</v>
      </c>
      <c r="M12" s="15">
        <f t="shared" si="3"/>
        <v>0</v>
      </c>
      <c r="N12" s="15">
        <f t="shared" si="4"/>
        <v>0</v>
      </c>
      <c r="O12" s="4">
        <f>IF(MATCH(Calendar!$C$2,Month,0)=MONTH($C12),1,0)</f>
        <v>0</v>
      </c>
      <c r="P12" s="4" t="b">
        <f t="shared" si="5"/>
        <v>0</v>
      </c>
      <c r="Q12" s="37" t="b">
        <f t="shared" si="6"/>
        <v>0</v>
      </c>
      <c r="R12" s="4" t="b">
        <f t="shared" si="7"/>
        <v>0</v>
      </c>
      <c r="S12" s="4" t="b">
        <f t="shared" si="8"/>
        <v>0</v>
      </c>
      <c r="T12" s="4" t="b">
        <f t="shared" si="9"/>
        <v>1</v>
      </c>
      <c r="U12" s="4" t="str">
        <f t="shared" si="0"/>
        <v>Avai</v>
      </c>
      <c r="V12" s="4" t="b">
        <f t="shared" si="10"/>
        <v>0</v>
      </c>
      <c r="W12">
        <f t="shared" si="1"/>
        <v>0</v>
      </c>
      <c r="X12">
        <f t="shared" si="11"/>
        <v>0</v>
      </c>
      <c r="AA12">
        <f t="shared" si="12"/>
        <v>10</v>
      </c>
      <c r="AB12" s="24" t="e">
        <f t="shared" si="2"/>
        <v>#N/A</v>
      </c>
      <c r="AC12" s="24" t="e">
        <f t="shared" si="2"/>
        <v>#N/A</v>
      </c>
      <c r="AD12" s="24" t="e">
        <f t="shared" si="2"/>
        <v>#N/A</v>
      </c>
      <c r="AE12" s="24" t="e">
        <f t="shared" si="2"/>
        <v>#N/A</v>
      </c>
    </row>
    <row r="13" spans="2:35" x14ac:dyDescent="0.3">
      <c r="F13" s="15"/>
      <c r="K13" s="4">
        <f>MONTH(DataBase[[#This Row],[Check-in]])</f>
        <v>1</v>
      </c>
      <c r="M13" s="15">
        <f t="shared" si="3"/>
        <v>0</v>
      </c>
      <c r="N13" s="15">
        <f t="shared" si="4"/>
        <v>0</v>
      </c>
      <c r="O13" s="4">
        <f>IF(MATCH(Calendar!$C$2,Month,0)=MONTH($C13),1,0)</f>
        <v>0</v>
      </c>
      <c r="P13" s="4" t="b">
        <f t="shared" si="5"/>
        <v>0</v>
      </c>
      <c r="Q13" s="37" t="b">
        <f t="shared" si="6"/>
        <v>0</v>
      </c>
      <c r="R13" s="4" t="b">
        <f t="shared" si="7"/>
        <v>0</v>
      </c>
      <c r="S13" s="4" t="b">
        <f t="shared" si="8"/>
        <v>0</v>
      </c>
      <c r="T13" s="4" t="b">
        <f t="shared" si="9"/>
        <v>1</v>
      </c>
      <c r="U13" s="4" t="str">
        <f t="shared" si="0"/>
        <v>Avai</v>
      </c>
      <c r="V13" s="4" t="b">
        <f t="shared" si="10"/>
        <v>0</v>
      </c>
      <c r="W13">
        <f t="shared" si="1"/>
        <v>0</v>
      </c>
      <c r="X13">
        <f t="shared" si="11"/>
        <v>0</v>
      </c>
      <c r="AA13">
        <f t="shared" si="12"/>
        <v>11</v>
      </c>
      <c r="AB13" s="24" t="e">
        <f t="shared" si="2"/>
        <v>#N/A</v>
      </c>
      <c r="AC13" s="24" t="e">
        <f t="shared" si="2"/>
        <v>#N/A</v>
      </c>
      <c r="AD13" s="24" t="e">
        <f t="shared" si="2"/>
        <v>#N/A</v>
      </c>
      <c r="AE13" s="24" t="e">
        <f t="shared" si="2"/>
        <v>#N/A</v>
      </c>
    </row>
    <row r="14" spans="2:35" x14ac:dyDescent="0.3">
      <c r="C14" s="4"/>
      <c r="F14" s="15"/>
      <c r="K14" s="4">
        <f>MONTH(DataBase[[#This Row],[Check-in]])</f>
        <v>1</v>
      </c>
      <c r="M14" s="15">
        <f t="shared" si="3"/>
        <v>0</v>
      </c>
      <c r="N14" s="15">
        <f t="shared" si="4"/>
        <v>0</v>
      </c>
      <c r="O14" s="4">
        <f>IF(MATCH(Calendar!$C$2,Month,0)=MONTH($C14),1,0)</f>
        <v>0</v>
      </c>
      <c r="P14" s="4" t="b">
        <f t="shared" si="5"/>
        <v>0</v>
      </c>
      <c r="Q14" s="37" t="b">
        <f t="shared" si="6"/>
        <v>0</v>
      </c>
      <c r="R14" s="4" t="b">
        <f t="shared" si="7"/>
        <v>0</v>
      </c>
      <c r="S14" s="4" t="b">
        <f t="shared" si="8"/>
        <v>0</v>
      </c>
      <c r="T14" s="4" t="b">
        <f t="shared" si="9"/>
        <v>1</v>
      </c>
      <c r="U14" s="4" t="str">
        <f t="shared" si="0"/>
        <v>Avai</v>
      </c>
      <c r="V14" s="4" t="b">
        <f t="shared" si="10"/>
        <v>0</v>
      </c>
      <c r="W14">
        <f t="shared" si="1"/>
        <v>0</v>
      </c>
      <c r="X14">
        <f t="shared" si="11"/>
        <v>0</v>
      </c>
      <c r="AA14">
        <f t="shared" si="12"/>
        <v>12</v>
      </c>
      <c r="AB14" s="24" t="e">
        <f t="shared" si="2"/>
        <v>#N/A</v>
      </c>
      <c r="AC14" s="24" t="e">
        <f t="shared" si="2"/>
        <v>#N/A</v>
      </c>
      <c r="AD14" s="24" t="e">
        <f t="shared" si="2"/>
        <v>#N/A</v>
      </c>
      <c r="AE14" s="24" t="e">
        <f t="shared" si="2"/>
        <v>#N/A</v>
      </c>
    </row>
    <row r="15" spans="2:35" x14ac:dyDescent="0.3">
      <c r="F15" s="15"/>
      <c r="K15" s="4">
        <f>MONTH(DataBase[[#This Row],[Check-in]])</f>
        <v>1</v>
      </c>
      <c r="M15" s="15">
        <f t="shared" si="3"/>
        <v>0</v>
      </c>
      <c r="N15" s="15">
        <f t="shared" si="4"/>
        <v>0</v>
      </c>
      <c r="O15" s="4">
        <f>IF(MATCH(Calendar!$C$2,Month,0)=MONTH($C15),1,0)</f>
        <v>0</v>
      </c>
      <c r="P15" s="4" t="b">
        <f t="shared" si="5"/>
        <v>0</v>
      </c>
      <c r="Q15" s="37" t="b">
        <f t="shared" si="6"/>
        <v>0</v>
      </c>
      <c r="R15" s="4" t="b">
        <f t="shared" si="7"/>
        <v>0</v>
      </c>
      <c r="S15" s="4" t="b">
        <f t="shared" si="8"/>
        <v>0</v>
      </c>
      <c r="T15" s="4" t="b">
        <f t="shared" si="9"/>
        <v>1</v>
      </c>
      <c r="U15" s="4" t="str">
        <f t="shared" si="0"/>
        <v>Avai</v>
      </c>
      <c r="V15" s="4" t="b">
        <f t="shared" si="10"/>
        <v>0</v>
      </c>
      <c r="W15">
        <f t="shared" si="1"/>
        <v>0</v>
      </c>
      <c r="X15">
        <f t="shared" si="11"/>
        <v>0</v>
      </c>
      <c r="AA15">
        <f t="shared" si="12"/>
        <v>13</v>
      </c>
      <c r="AB15" s="24" t="e">
        <f t="shared" si="2"/>
        <v>#N/A</v>
      </c>
      <c r="AC15" s="24" t="e">
        <f t="shared" si="2"/>
        <v>#N/A</v>
      </c>
      <c r="AD15" s="24" t="e">
        <f t="shared" si="2"/>
        <v>#N/A</v>
      </c>
      <c r="AE15" s="24" t="e">
        <f t="shared" si="2"/>
        <v>#N/A</v>
      </c>
    </row>
    <row r="16" spans="2:35" x14ac:dyDescent="0.3">
      <c r="B16" s="5"/>
      <c r="F16" s="15"/>
      <c r="K16" s="4">
        <f>MONTH(DataBase[[#This Row],[Check-in]])</f>
        <v>1</v>
      </c>
      <c r="M16" s="15">
        <f t="shared" si="3"/>
        <v>0</v>
      </c>
      <c r="N16" s="15">
        <f t="shared" si="4"/>
        <v>0</v>
      </c>
      <c r="O16" s="4">
        <f>IF(MATCH(Calendar!$C$2,Month,0)=MONTH($C16),1,0)</f>
        <v>0</v>
      </c>
      <c r="P16" s="4" t="b">
        <f t="shared" si="5"/>
        <v>0</v>
      </c>
      <c r="Q16" s="37" t="b">
        <f t="shared" si="6"/>
        <v>0</v>
      </c>
      <c r="R16" s="4" t="b">
        <f t="shared" si="7"/>
        <v>0</v>
      </c>
      <c r="S16" s="4" t="b">
        <f t="shared" si="8"/>
        <v>0</v>
      </c>
      <c r="T16" s="4" t="b">
        <f t="shared" si="9"/>
        <v>1</v>
      </c>
      <c r="U16" s="4" t="str">
        <f t="shared" si="0"/>
        <v>Avai</v>
      </c>
      <c r="V16" s="4" t="b">
        <f t="shared" si="10"/>
        <v>0</v>
      </c>
      <c r="W16">
        <f t="shared" si="1"/>
        <v>0</v>
      </c>
      <c r="X16">
        <f t="shared" si="11"/>
        <v>0</v>
      </c>
      <c r="AA16">
        <f t="shared" si="12"/>
        <v>14</v>
      </c>
      <c r="AB16" s="24" t="e">
        <f t="shared" si="2"/>
        <v>#N/A</v>
      </c>
      <c r="AC16" s="24" t="e">
        <f t="shared" si="2"/>
        <v>#N/A</v>
      </c>
      <c r="AD16" s="24" t="e">
        <f t="shared" si="2"/>
        <v>#N/A</v>
      </c>
      <c r="AE16" s="24" t="e">
        <f t="shared" si="2"/>
        <v>#N/A</v>
      </c>
    </row>
    <row r="17" spans="6:31" x14ac:dyDescent="0.3">
      <c r="F17" s="15"/>
      <c r="K17" s="4">
        <f>MONTH(DataBase[[#This Row],[Check-in]])</f>
        <v>1</v>
      </c>
      <c r="M17" s="15">
        <f t="shared" si="3"/>
        <v>0</v>
      </c>
      <c r="N17" s="15">
        <f t="shared" si="4"/>
        <v>0</v>
      </c>
      <c r="O17" s="4">
        <f>IF(MATCH(Calendar!$C$2,Month,0)=MONTH($C17),1,0)</f>
        <v>0</v>
      </c>
      <c r="P17" s="4" t="b">
        <f t="shared" si="5"/>
        <v>0</v>
      </c>
      <c r="Q17" s="37" t="b">
        <f t="shared" si="6"/>
        <v>0</v>
      </c>
      <c r="R17" s="4" t="b">
        <f t="shared" si="7"/>
        <v>0</v>
      </c>
      <c r="S17" s="4" t="b">
        <f t="shared" si="8"/>
        <v>0</v>
      </c>
      <c r="T17" s="4" t="b">
        <f t="shared" si="9"/>
        <v>1</v>
      </c>
      <c r="U17" s="4" t="str">
        <f t="shared" si="0"/>
        <v>Avai</v>
      </c>
      <c r="V17" s="4" t="b">
        <f t="shared" si="10"/>
        <v>0</v>
      </c>
      <c r="W17">
        <f t="shared" si="1"/>
        <v>0</v>
      </c>
      <c r="X17">
        <f t="shared" si="11"/>
        <v>0</v>
      </c>
      <c r="AA17">
        <f t="shared" si="12"/>
        <v>15</v>
      </c>
      <c r="AB17" s="24" t="e">
        <f t="shared" si="2"/>
        <v>#N/A</v>
      </c>
      <c r="AC17" s="24" t="e">
        <f t="shared" si="2"/>
        <v>#N/A</v>
      </c>
      <c r="AD17" s="24" t="e">
        <f t="shared" si="2"/>
        <v>#N/A</v>
      </c>
      <c r="AE17" s="24" t="e">
        <f t="shared" si="2"/>
        <v>#N/A</v>
      </c>
    </row>
    <row r="18" spans="6:31" x14ac:dyDescent="0.3">
      <c r="F18" s="15"/>
      <c r="K18" s="4">
        <f>MONTH(DataBase[[#This Row],[Check-in]])</f>
        <v>1</v>
      </c>
      <c r="M18" s="15">
        <f t="shared" si="3"/>
        <v>0</v>
      </c>
      <c r="N18" s="15">
        <f t="shared" si="4"/>
        <v>0</v>
      </c>
      <c r="O18" s="4">
        <f>IF(MATCH(Calendar!$C$2,Month,0)=MONTH($C18),1,0)</f>
        <v>0</v>
      </c>
      <c r="P18" s="4" t="b">
        <f t="shared" si="5"/>
        <v>0</v>
      </c>
      <c r="Q18" s="37" t="b">
        <f t="shared" si="6"/>
        <v>0</v>
      </c>
      <c r="R18" s="4" t="b">
        <f t="shared" si="7"/>
        <v>0</v>
      </c>
      <c r="S18" s="4" t="b">
        <f t="shared" si="8"/>
        <v>0</v>
      </c>
      <c r="T18" s="4" t="b">
        <f t="shared" si="9"/>
        <v>1</v>
      </c>
      <c r="U18" s="4" t="str">
        <f t="shared" si="0"/>
        <v>Avai</v>
      </c>
      <c r="V18" s="4" t="b">
        <f t="shared" si="10"/>
        <v>0</v>
      </c>
      <c r="W18">
        <f t="shared" si="1"/>
        <v>0</v>
      </c>
      <c r="X18">
        <f t="shared" si="11"/>
        <v>0</v>
      </c>
      <c r="AA18">
        <f t="shared" si="12"/>
        <v>16</v>
      </c>
      <c r="AB18" s="24" t="e">
        <f t="shared" si="2"/>
        <v>#N/A</v>
      </c>
      <c r="AC18" s="24" t="e">
        <f t="shared" si="2"/>
        <v>#N/A</v>
      </c>
      <c r="AD18" s="24" t="e">
        <f t="shared" si="2"/>
        <v>#N/A</v>
      </c>
      <c r="AE18" s="24" t="e">
        <f t="shared" si="2"/>
        <v>#N/A</v>
      </c>
    </row>
    <row r="19" spans="6:31" x14ac:dyDescent="0.3">
      <c r="F19" s="15"/>
      <c r="K19" s="4">
        <f>MONTH(DataBase[[#This Row],[Check-in]])</f>
        <v>1</v>
      </c>
      <c r="M19" s="15">
        <f t="shared" si="3"/>
        <v>0</v>
      </c>
      <c r="N19" s="15">
        <f t="shared" si="4"/>
        <v>0</v>
      </c>
      <c r="O19" s="4">
        <f>IF(MATCH(Calendar!$C$2,Month,0)=MONTH($C19),1,0)</f>
        <v>0</v>
      </c>
      <c r="P19" s="4" t="b">
        <f t="shared" si="5"/>
        <v>0</v>
      </c>
      <c r="Q19" s="37" t="b">
        <f t="shared" si="6"/>
        <v>0</v>
      </c>
      <c r="R19" s="4" t="b">
        <f t="shared" si="7"/>
        <v>0</v>
      </c>
      <c r="S19" s="4" t="b">
        <f t="shared" si="8"/>
        <v>0</v>
      </c>
      <c r="T19" s="4" t="b">
        <f t="shared" si="9"/>
        <v>1</v>
      </c>
      <c r="U19" s="4" t="str">
        <f t="shared" si="0"/>
        <v>Avai</v>
      </c>
      <c r="V19" s="4" t="b">
        <f t="shared" si="10"/>
        <v>0</v>
      </c>
      <c r="W19">
        <f t="shared" si="1"/>
        <v>0</v>
      </c>
      <c r="X19">
        <f t="shared" si="11"/>
        <v>0</v>
      </c>
      <c r="AA19">
        <f t="shared" si="12"/>
        <v>17</v>
      </c>
      <c r="AB19" s="24" t="e">
        <f t="shared" si="2"/>
        <v>#N/A</v>
      </c>
      <c r="AC19" s="24" t="e">
        <f t="shared" si="2"/>
        <v>#N/A</v>
      </c>
      <c r="AD19" s="24" t="e">
        <f t="shared" si="2"/>
        <v>#N/A</v>
      </c>
      <c r="AE19" s="24" t="e">
        <f t="shared" si="2"/>
        <v>#N/A</v>
      </c>
    </row>
    <row r="20" spans="6:31" x14ac:dyDescent="0.3">
      <c r="F20" s="15"/>
      <c r="K20" s="4">
        <f>MONTH(DataBase[[#This Row],[Check-in]])</f>
        <v>1</v>
      </c>
      <c r="M20" s="15">
        <f t="shared" si="3"/>
        <v>0</v>
      </c>
      <c r="N20" s="15">
        <f t="shared" si="4"/>
        <v>0</v>
      </c>
      <c r="O20" s="4">
        <f>IF(MATCH(Calendar!$C$2,Month,0)=MONTH($C20),1,0)</f>
        <v>0</v>
      </c>
      <c r="P20" s="4" t="b">
        <f t="shared" si="5"/>
        <v>0</v>
      </c>
      <c r="Q20" s="37" t="b">
        <f t="shared" si="6"/>
        <v>0</v>
      </c>
      <c r="R20" s="4" t="b">
        <f t="shared" si="7"/>
        <v>0</v>
      </c>
      <c r="S20" s="4" t="b">
        <f t="shared" si="8"/>
        <v>0</v>
      </c>
      <c r="T20" s="4" t="b">
        <f t="shared" si="9"/>
        <v>1</v>
      </c>
      <c r="U20" s="4" t="str">
        <f t="shared" si="0"/>
        <v>Avai</v>
      </c>
      <c r="V20" s="4" t="b">
        <f t="shared" si="10"/>
        <v>0</v>
      </c>
      <c r="W20">
        <f t="shared" si="1"/>
        <v>0</v>
      </c>
      <c r="X20">
        <f t="shared" si="11"/>
        <v>0</v>
      </c>
      <c r="AA20">
        <f t="shared" si="12"/>
        <v>18</v>
      </c>
      <c r="AB20" s="24" t="e">
        <f t="shared" si="2"/>
        <v>#N/A</v>
      </c>
      <c r="AC20" s="24" t="e">
        <f t="shared" si="2"/>
        <v>#N/A</v>
      </c>
      <c r="AD20" s="24" t="e">
        <f t="shared" si="2"/>
        <v>#N/A</v>
      </c>
      <c r="AE20" s="24" t="e">
        <f t="shared" si="2"/>
        <v>#N/A</v>
      </c>
    </row>
    <row r="21" spans="6:31" x14ac:dyDescent="0.3">
      <c r="F21" s="15"/>
      <c r="K21" s="4">
        <f>MONTH(DataBase[[#This Row],[Check-in]])</f>
        <v>1</v>
      </c>
      <c r="M21" s="15">
        <f t="shared" si="3"/>
        <v>0</v>
      </c>
      <c r="N21" s="15">
        <f t="shared" si="4"/>
        <v>0</v>
      </c>
      <c r="O21" s="4">
        <f>IF(MATCH(Calendar!$C$2,Month,0)=MONTH($C21),1,0)</f>
        <v>0</v>
      </c>
      <c r="P21" s="4" t="b">
        <f t="shared" si="5"/>
        <v>0</v>
      </c>
      <c r="Q21" s="37" t="b">
        <f t="shared" si="6"/>
        <v>0</v>
      </c>
      <c r="R21" s="4" t="b">
        <f t="shared" si="7"/>
        <v>0</v>
      </c>
      <c r="S21" s="4" t="b">
        <f t="shared" si="8"/>
        <v>0</v>
      </c>
      <c r="T21" s="4" t="b">
        <f t="shared" si="9"/>
        <v>1</v>
      </c>
      <c r="U21" s="4" t="str">
        <f t="shared" si="0"/>
        <v>Avai</v>
      </c>
      <c r="V21" s="4" t="b">
        <f t="shared" si="10"/>
        <v>0</v>
      </c>
      <c r="W21">
        <f t="shared" si="1"/>
        <v>0</v>
      </c>
      <c r="X21">
        <f t="shared" si="11"/>
        <v>0</v>
      </c>
      <c r="AA21">
        <f t="shared" si="12"/>
        <v>19</v>
      </c>
      <c r="AB21" s="24" t="e">
        <f t="shared" si="2"/>
        <v>#N/A</v>
      </c>
      <c r="AC21" s="24" t="e">
        <f t="shared" si="2"/>
        <v>#N/A</v>
      </c>
      <c r="AD21" s="24" t="e">
        <f t="shared" si="2"/>
        <v>#N/A</v>
      </c>
      <c r="AE21" s="24" t="e">
        <f t="shared" si="2"/>
        <v>#N/A</v>
      </c>
    </row>
    <row r="22" spans="6:31" x14ac:dyDescent="0.3">
      <c r="F22" s="15"/>
      <c r="K22" s="4">
        <f>MONTH(DataBase[[#This Row],[Check-in]])</f>
        <v>1</v>
      </c>
      <c r="M22" s="15">
        <f t="shared" si="3"/>
        <v>0</v>
      </c>
      <c r="N22" s="15">
        <f t="shared" si="4"/>
        <v>0</v>
      </c>
      <c r="O22" s="4">
        <f>IF(MATCH(Calendar!$C$2,Month,0)=MONTH($C22),1,0)</f>
        <v>0</v>
      </c>
      <c r="P22" s="4" t="b">
        <f t="shared" si="5"/>
        <v>0</v>
      </c>
      <c r="Q22" s="37" t="b">
        <f t="shared" si="6"/>
        <v>0</v>
      </c>
      <c r="R22" s="4" t="b">
        <f t="shared" si="7"/>
        <v>0</v>
      </c>
      <c r="S22" s="4" t="b">
        <f t="shared" si="8"/>
        <v>0</v>
      </c>
      <c r="T22" s="4" t="b">
        <f t="shared" si="9"/>
        <v>1</v>
      </c>
      <c r="U22" s="4" t="str">
        <f t="shared" si="0"/>
        <v>Avai</v>
      </c>
      <c r="V22" s="4" t="b">
        <f t="shared" si="10"/>
        <v>0</v>
      </c>
      <c r="W22">
        <f t="shared" si="1"/>
        <v>0</v>
      </c>
      <c r="X22">
        <f t="shared" si="11"/>
        <v>0</v>
      </c>
      <c r="AA22">
        <f t="shared" si="12"/>
        <v>20</v>
      </c>
      <c r="AB22" s="24" t="e">
        <f t="shared" si="2"/>
        <v>#N/A</v>
      </c>
      <c r="AC22" s="24" t="e">
        <f t="shared" si="2"/>
        <v>#N/A</v>
      </c>
      <c r="AD22" s="24" t="e">
        <f t="shared" si="2"/>
        <v>#N/A</v>
      </c>
      <c r="AE22" s="24" t="e">
        <f t="shared" si="2"/>
        <v>#N/A</v>
      </c>
    </row>
    <row r="23" spans="6:31" x14ac:dyDescent="0.3">
      <c r="F23" s="15"/>
      <c r="K23" s="4">
        <f>MONTH(DataBase[[#This Row],[Check-in]])</f>
        <v>1</v>
      </c>
      <c r="M23" s="15">
        <f t="shared" si="3"/>
        <v>0</v>
      </c>
      <c r="N23" s="15">
        <f t="shared" si="4"/>
        <v>0</v>
      </c>
      <c r="O23" s="4">
        <f>IF(MATCH(Calendar!$C$2,Month,0)=MONTH($C23),1,0)</f>
        <v>0</v>
      </c>
      <c r="P23" s="4" t="b">
        <f t="shared" si="5"/>
        <v>0</v>
      </c>
      <c r="Q23" s="37" t="b">
        <f t="shared" si="6"/>
        <v>0</v>
      </c>
      <c r="R23" s="4" t="b">
        <f t="shared" si="7"/>
        <v>0</v>
      </c>
      <c r="S23" s="4" t="b">
        <f t="shared" si="8"/>
        <v>0</v>
      </c>
      <c r="T23" s="4" t="b">
        <f t="shared" si="9"/>
        <v>1</v>
      </c>
      <c r="U23" s="4" t="str">
        <f t="shared" si="0"/>
        <v>Avai</v>
      </c>
      <c r="V23" s="4" t="b">
        <f t="shared" si="10"/>
        <v>0</v>
      </c>
      <c r="W23">
        <f t="shared" si="1"/>
        <v>0</v>
      </c>
      <c r="X23">
        <f t="shared" si="11"/>
        <v>0</v>
      </c>
    </row>
    <row r="24" spans="6:31" x14ac:dyDescent="0.3">
      <c r="F24" s="15"/>
      <c r="K24" s="4">
        <f>MONTH(DataBase[[#This Row],[Check-in]])</f>
        <v>1</v>
      </c>
      <c r="M24" s="15">
        <f t="shared" si="3"/>
        <v>0</v>
      </c>
      <c r="N24" s="15">
        <f t="shared" si="4"/>
        <v>0</v>
      </c>
      <c r="O24" s="4">
        <f>IF(MATCH(Calendar!$C$2,Month,0)=MONTH($C24),1,0)</f>
        <v>0</v>
      </c>
      <c r="P24" s="4" t="b">
        <f t="shared" si="5"/>
        <v>0</v>
      </c>
      <c r="Q24" s="37" t="b">
        <f t="shared" si="6"/>
        <v>0</v>
      </c>
      <c r="R24" s="4" t="b">
        <f t="shared" si="7"/>
        <v>0</v>
      </c>
      <c r="S24" s="4" t="b">
        <f t="shared" si="8"/>
        <v>0</v>
      </c>
      <c r="T24" s="4" t="b">
        <f t="shared" si="9"/>
        <v>1</v>
      </c>
      <c r="U24" s="4" t="str">
        <f t="shared" si="0"/>
        <v>Avai</v>
      </c>
      <c r="V24" s="4" t="b">
        <f t="shared" si="10"/>
        <v>0</v>
      </c>
      <c r="W24">
        <f t="shared" si="1"/>
        <v>0</v>
      </c>
      <c r="X24">
        <f t="shared" si="11"/>
        <v>0</v>
      </c>
    </row>
    <row r="25" spans="6:31" x14ac:dyDescent="0.3">
      <c r="F25" s="15"/>
      <c r="K25" s="79">
        <f>MONTH(DataBase[[#This Row],[Check-in]])</f>
        <v>1</v>
      </c>
      <c r="M25" s="15">
        <f t="shared" si="3"/>
        <v>0</v>
      </c>
      <c r="N25" s="15">
        <f t="shared" si="4"/>
        <v>0</v>
      </c>
      <c r="O25" s="4">
        <f>IF(MATCH(Calendar!$C$2,Month,0)=MONTH($C25),1,0)</f>
        <v>0</v>
      </c>
      <c r="P25" s="4" t="b">
        <f t="shared" si="5"/>
        <v>0</v>
      </c>
      <c r="Q25" s="37" t="b">
        <f t="shared" si="6"/>
        <v>0</v>
      </c>
      <c r="R25" s="4" t="b">
        <f t="shared" si="7"/>
        <v>0</v>
      </c>
      <c r="S25" s="4" t="b">
        <f t="shared" si="8"/>
        <v>0</v>
      </c>
      <c r="T25" s="4" t="b">
        <f t="shared" si="9"/>
        <v>1</v>
      </c>
      <c r="U25" s="4" t="str">
        <f t="shared" si="0"/>
        <v>Avai</v>
      </c>
      <c r="V25" s="4" t="b">
        <f t="shared" si="10"/>
        <v>0</v>
      </c>
      <c r="W25">
        <f t="shared" si="1"/>
        <v>0</v>
      </c>
      <c r="X25">
        <f t="shared" si="11"/>
        <v>0</v>
      </c>
    </row>
    <row r="26" spans="6:31" x14ac:dyDescent="0.3">
      <c r="M26" s="15">
        <f t="shared" si="3"/>
        <v>0</v>
      </c>
      <c r="N26" s="15">
        <f t="shared" si="4"/>
        <v>0</v>
      </c>
      <c r="O26" s="4">
        <f>IF(MATCH(Calendar!$C$2,Month,0)=MONTH($C26),1,0)</f>
        <v>0</v>
      </c>
      <c r="P26" s="4" t="b">
        <f t="shared" si="5"/>
        <v>0</v>
      </c>
      <c r="Q26" s="37" t="b">
        <f t="shared" si="6"/>
        <v>0</v>
      </c>
      <c r="R26" s="4" t="b">
        <f t="shared" si="7"/>
        <v>0</v>
      </c>
      <c r="S26" s="4" t="b">
        <f t="shared" si="8"/>
        <v>0</v>
      </c>
      <c r="T26" s="4" t="b">
        <f t="shared" si="9"/>
        <v>1</v>
      </c>
      <c r="U26" s="4" t="str">
        <f t="shared" si="0"/>
        <v>Avai</v>
      </c>
      <c r="V26" s="4" t="b">
        <f t="shared" si="10"/>
        <v>0</v>
      </c>
      <c r="W26">
        <f t="shared" si="1"/>
        <v>0</v>
      </c>
      <c r="X26">
        <f t="shared" si="11"/>
        <v>0</v>
      </c>
    </row>
    <row r="27" spans="6:31" x14ac:dyDescent="0.3">
      <c r="M27" s="15">
        <f t="shared" si="3"/>
        <v>0</v>
      </c>
      <c r="N27" s="15">
        <f t="shared" si="4"/>
        <v>0</v>
      </c>
      <c r="O27" s="4">
        <f>IF(MATCH(Calendar!$C$2,Month,0)=MONTH($C27),1,0)</f>
        <v>0</v>
      </c>
      <c r="P27" s="4" t="b">
        <f t="shared" si="5"/>
        <v>0</v>
      </c>
      <c r="Q27" s="37" t="b">
        <f t="shared" si="6"/>
        <v>0</v>
      </c>
      <c r="R27" s="4" t="b">
        <f t="shared" si="7"/>
        <v>0</v>
      </c>
      <c r="S27" s="4" t="b">
        <f t="shared" si="8"/>
        <v>0</v>
      </c>
      <c r="T27" s="4" t="b">
        <f t="shared" si="9"/>
        <v>1</v>
      </c>
      <c r="U27" s="4" t="str">
        <f t="shared" si="0"/>
        <v>Avai</v>
      </c>
      <c r="V27" s="4" t="b">
        <f t="shared" si="10"/>
        <v>0</v>
      </c>
      <c r="W27">
        <f t="shared" si="1"/>
        <v>0</v>
      </c>
      <c r="X27">
        <f t="shared" si="11"/>
        <v>0</v>
      </c>
    </row>
    <row r="28" spans="6:31" x14ac:dyDescent="0.3">
      <c r="M28" s="15">
        <f t="shared" si="3"/>
        <v>0</v>
      </c>
      <c r="N28" s="15">
        <f t="shared" si="4"/>
        <v>0</v>
      </c>
      <c r="O28" s="4">
        <f>IF(MATCH(Calendar!$C$2,Month,0)=MONTH($C28),1,0)</f>
        <v>0</v>
      </c>
      <c r="P28" s="4" t="b">
        <f t="shared" si="5"/>
        <v>0</v>
      </c>
      <c r="Q28" s="37" t="b">
        <f t="shared" si="6"/>
        <v>0</v>
      </c>
      <c r="R28" s="4" t="b">
        <f t="shared" si="7"/>
        <v>0</v>
      </c>
      <c r="S28" s="4" t="b">
        <f t="shared" si="8"/>
        <v>0</v>
      </c>
      <c r="T28" s="4" t="b">
        <f t="shared" si="9"/>
        <v>1</v>
      </c>
      <c r="U28" s="4" t="str">
        <f t="shared" si="0"/>
        <v>Avai</v>
      </c>
      <c r="V28" s="4" t="b">
        <f t="shared" si="10"/>
        <v>0</v>
      </c>
      <c r="W28">
        <f t="shared" si="1"/>
        <v>0</v>
      </c>
      <c r="X28">
        <f t="shared" si="11"/>
        <v>0</v>
      </c>
    </row>
    <row r="29" spans="6:31" x14ac:dyDescent="0.3">
      <c r="M29" s="15">
        <f t="shared" si="3"/>
        <v>0</v>
      </c>
      <c r="N29" s="15">
        <f t="shared" si="4"/>
        <v>0</v>
      </c>
      <c r="O29" s="4">
        <f>IF(MATCH(Calendar!$C$2,Month,0)=MONTH($C29),1,0)</f>
        <v>0</v>
      </c>
      <c r="P29" s="4" t="b">
        <f t="shared" si="5"/>
        <v>0</v>
      </c>
      <c r="Q29" s="37" t="b">
        <f t="shared" si="6"/>
        <v>0</v>
      </c>
      <c r="R29" s="4" t="b">
        <f t="shared" si="7"/>
        <v>0</v>
      </c>
      <c r="S29" s="4" t="b">
        <f t="shared" si="8"/>
        <v>0</v>
      </c>
      <c r="T29" s="4" t="b">
        <f t="shared" si="9"/>
        <v>1</v>
      </c>
      <c r="U29" s="4" t="str">
        <f t="shared" si="0"/>
        <v>Avai</v>
      </c>
      <c r="V29" s="4" t="b">
        <f t="shared" si="10"/>
        <v>0</v>
      </c>
      <c r="W29">
        <f t="shared" si="1"/>
        <v>0</v>
      </c>
      <c r="X29">
        <f t="shared" si="11"/>
        <v>0</v>
      </c>
    </row>
    <row r="30" spans="6:31" x14ac:dyDescent="0.3">
      <c r="M30" s="15">
        <f t="shared" si="3"/>
        <v>0</v>
      </c>
      <c r="N30" s="15">
        <f t="shared" si="4"/>
        <v>0</v>
      </c>
      <c r="O30" s="4">
        <f>IF(MATCH(Calendar!$C$2,Month,0)=MONTH($C30),1,0)</f>
        <v>0</v>
      </c>
      <c r="P30" s="4" t="b">
        <f t="shared" si="5"/>
        <v>0</v>
      </c>
      <c r="Q30" s="37" t="b">
        <f t="shared" si="6"/>
        <v>0</v>
      </c>
      <c r="R30" s="4" t="b">
        <f t="shared" si="7"/>
        <v>0</v>
      </c>
      <c r="S30" s="4" t="b">
        <f t="shared" si="8"/>
        <v>0</v>
      </c>
      <c r="T30" s="4" t="b">
        <f t="shared" si="9"/>
        <v>1</v>
      </c>
      <c r="U30" s="4" t="str">
        <f t="shared" si="0"/>
        <v>Avai</v>
      </c>
      <c r="V30" s="4" t="b">
        <f t="shared" si="10"/>
        <v>0</v>
      </c>
      <c r="W30">
        <f t="shared" si="1"/>
        <v>0</v>
      </c>
      <c r="X30">
        <f t="shared" si="11"/>
        <v>0</v>
      </c>
    </row>
    <row r="31" spans="6:31" x14ac:dyDescent="0.3">
      <c r="M31" s="15">
        <f t="shared" si="3"/>
        <v>0</v>
      </c>
      <c r="N31" s="15">
        <f t="shared" si="4"/>
        <v>0</v>
      </c>
      <c r="O31" s="4">
        <f>IF(MATCH(Calendar!$C$2,Month,0)=MONTH($C31),1,0)</f>
        <v>0</v>
      </c>
      <c r="P31" s="4" t="b">
        <f t="shared" si="5"/>
        <v>0</v>
      </c>
      <c r="Q31" s="37" t="b">
        <f t="shared" si="6"/>
        <v>0</v>
      </c>
      <c r="R31" s="4" t="b">
        <f t="shared" si="7"/>
        <v>0</v>
      </c>
      <c r="S31" s="4" t="b">
        <f t="shared" si="8"/>
        <v>0</v>
      </c>
      <c r="T31" s="4" t="b">
        <f t="shared" si="9"/>
        <v>1</v>
      </c>
      <c r="U31" s="4" t="str">
        <f t="shared" si="0"/>
        <v>Avai</v>
      </c>
      <c r="V31" s="4" t="b">
        <f t="shared" si="10"/>
        <v>0</v>
      </c>
      <c r="W31">
        <f t="shared" si="1"/>
        <v>0</v>
      </c>
      <c r="X31">
        <f t="shared" si="11"/>
        <v>0</v>
      </c>
    </row>
    <row r="32" spans="6:31" x14ac:dyDescent="0.3">
      <c r="M32" s="15">
        <f t="shared" si="3"/>
        <v>0</v>
      </c>
      <c r="N32" s="15">
        <f t="shared" si="4"/>
        <v>0</v>
      </c>
      <c r="O32" s="4">
        <f>IF(MATCH(Calendar!$C$2,Month,0)=MONTH($C32),1,0)</f>
        <v>0</v>
      </c>
      <c r="P32" s="4" t="b">
        <f t="shared" si="5"/>
        <v>0</v>
      </c>
      <c r="Q32" s="37" t="b">
        <f t="shared" si="6"/>
        <v>0</v>
      </c>
      <c r="R32" s="4" t="b">
        <f t="shared" si="7"/>
        <v>0</v>
      </c>
      <c r="S32" s="4" t="b">
        <f t="shared" si="8"/>
        <v>0</v>
      </c>
      <c r="T32" s="4" t="b">
        <f t="shared" si="9"/>
        <v>1</v>
      </c>
      <c r="U32" s="4" t="str">
        <f t="shared" si="0"/>
        <v>Avai</v>
      </c>
      <c r="V32" s="4" t="b">
        <f t="shared" si="10"/>
        <v>0</v>
      </c>
      <c r="W32">
        <f t="shared" si="1"/>
        <v>0</v>
      </c>
      <c r="X32">
        <f t="shared" si="11"/>
        <v>0</v>
      </c>
    </row>
    <row r="33" spans="13:24" x14ac:dyDescent="0.3">
      <c r="M33" s="15">
        <f t="shared" si="3"/>
        <v>0</v>
      </c>
      <c r="N33" s="15">
        <f t="shared" si="4"/>
        <v>0</v>
      </c>
      <c r="O33" s="4">
        <f>IF(MATCH(Calendar!$C$2,Month,0)=MONTH($C33),1,0)</f>
        <v>0</v>
      </c>
      <c r="P33" s="4" t="b">
        <f t="shared" si="5"/>
        <v>0</v>
      </c>
      <c r="Q33" s="37" t="b">
        <f t="shared" si="6"/>
        <v>0</v>
      </c>
      <c r="R33" s="4" t="b">
        <f t="shared" si="7"/>
        <v>0</v>
      </c>
      <c r="S33" s="4" t="b">
        <f t="shared" si="8"/>
        <v>0</v>
      </c>
      <c r="T33" s="4" t="b">
        <f t="shared" si="9"/>
        <v>1</v>
      </c>
      <c r="U33" s="4" t="str">
        <f t="shared" si="0"/>
        <v>Avai</v>
      </c>
      <c r="V33" s="4" t="b">
        <f t="shared" si="10"/>
        <v>0</v>
      </c>
      <c r="W33">
        <f t="shared" si="1"/>
        <v>0</v>
      </c>
      <c r="X33">
        <f t="shared" si="11"/>
        <v>0</v>
      </c>
    </row>
    <row r="34" spans="13:24" x14ac:dyDescent="0.3">
      <c r="M34" s="15">
        <f t="shared" si="3"/>
        <v>0</v>
      </c>
      <c r="N34" s="15">
        <f t="shared" si="4"/>
        <v>0</v>
      </c>
      <c r="O34" s="4">
        <f>IF(MATCH(Calendar!$C$2,Month,0)=MONTH($C34),1,0)</f>
        <v>0</v>
      </c>
      <c r="P34" s="4" t="b">
        <f t="shared" si="5"/>
        <v>0</v>
      </c>
      <c r="Q34" s="37" t="b">
        <f t="shared" si="6"/>
        <v>0</v>
      </c>
      <c r="R34" s="4" t="b">
        <f t="shared" si="7"/>
        <v>0</v>
      </c>
      <c r="S34" s="4" t="b">
        <f t="shared" si="8"/>
        <v>0</v>
      </c>
      <c r="T34" s="4" t="b">
        <f t="shared" si="9"/>
        <v>1</v>
      </c>
      <c r="U34" s="4" t="str">
        <f t="shared" si="0"/>
        <v>Avai</v>
      </c>
      <c r="V34" s="4" t="b">
        <f t="shared" si="10"/>
        <v>0</v>
      </c>
      <c r="W34">
        <f t="shared" si="1"/>
        <v>0</v>
      </c>
      <c r="X34">
        <f t="shared" si="11"/>
        <v>0</v>
      </c>
    </row>
    <row r="35" spans="13:24" x14ac:dyDescent="0.3">
      <c r="M35" s="15">
        <f t="shared" si="3"/>
        <v>0</v>
      </c>
      <c r="N35" s="15">
        <f t="shared" si="4"/>
        <v>0</v>
      </c>
      <c r="O35" s="4">
        <f>IF(MATCH(Calendar!$C$2,Month,0)=MONTH($C35),1,0)</f>
        <v>0</v>
      </c>
      <c r="P35" s="4" t="b">
        <f t="shared" si="5"/>
        <v>0</v>
      </c>
      <c r="Q35" s="37" t="b">
        <f t="shared" si="6"/>
        <v>0</v>
      </c>
      <c r="R35" s="4" t="b">
        <f t="shared" si="7"/>
        <v>0</v>
      </c>
      <c r="S35" s="4" t="b">
        <f t="shared" si="8"/>
        <v>0</v>
      </c>
      <c r="T35" s="4" t="b">
        <f t="shared" si="9"/>
        <v>1</v>
      </c>
      <c r="U35" s="4" t="str">
        <f t="shared" ref="U35:U62" si="13">IF(V35=FALSE,"Avai",IF(T35,"Avai","Unvai"))</f>
        <v>Avai</v>
      </c>
      <c r="V35" s="4" t="b">
        <f t="shared" si="10"/>
        <v>0</v>
      </c>
      <c r="W35">
        <f t="shared" ref="W35:W62" si="14">IF($C35=$Z$2,1,0)</f>
        <v>0</v>
      </c>
      <c r="X35">
        <f t="shared" si="11"/>
        <v>0</v>
      </c>
    </row>
    <row r="36" spans="13:24" x14ac:dyDescent="0.3">
      <c r="M36" s="15">
        <f t="shared" si="3"/>
        <v>0</v>
      </c>
      <c r="N36" s="15">
        <f t="shared" si="4"/>
        <v>0</v>
      </c>
      <c r="O36" s="4">
        <f>IF(MATCH(Calendar!$C$2,Month,0)=MONTH($C36),1,0)</f>
        <v>0</v>
      </c>
      <c r="P36" s="4" t="b">
        <f t="shared" ref="P36:P62" si="15">AND($AH$3&gt;=C36,$AI$3&lt;=D36)</f>
        <v>0</v>
      </c>
      <c r="Q36" s="37" t="b">
        <f t="shared" si="6"/>
        <v>0</v>
      </c>
      <c r="R36" s="4" t="b">
        <f t="shared" si="7"/>
        <v>0</v>
      </c>
      <c r="S36" s="4" t="b">
        <f t="shared" si="8"/>
        <v>0</v>
      </c>
      <c r="T36" s="4" t="b">
        <f t="shared" si="9"/>
        <v>1</v>
      </c>
      <c r="U36" s="4" t="str">
        <f t="shared" si="13"/>
        <v>Avai</v>
      </c>
      <c r="V36" s="4" t="b">
        <f t="shared" si="10"/>
        <v>0</v>
      </c>
      <c r="W36">
        <f t="shared" si="14"/>
        <v>0</v>
      </c>
      <c r="X36">
        <f t="shared" ref="X36:X62" si="16">X35+W36</f>
        <v>0</v>
      </c>
    </row>
    <row r="37" spans="13:24" x14ac:dyDescent="0.3">
      <c r="M37" s="15">
        <f t="shared" si="3"/>
        <v>0</v>
      </c>
      <c r="N37" s="15">
        <f t="shared" si="4"/>
        <v>0</v>
      </c>
      <c r="O37" s="4">
        <f>IF(MATCH(Calendar!$C$2,Month,0)=MONTH($C37),1,0)</f>
        <v>0</v>
      </c>
      <c r="P37" s="4" t="b">
        <f t="shared" si="15"/>
        <v>0</v>
      </c>
      <c r="Q37" s="37" t="b">
        <f t="shared" si="6"/>
        <v>0</v>
      </c>
      <c r="R37" s="4" t="b">
        <f t="shared" si="7"/>
        <v>0</v>
      </c>
      <c r="S37" s="4" t="b">
        <f t="shared" si="8"/>
        <v>0</v>
      </c>
      <c r="T37" s="4" t="b">
        <f t="shared" si="9"/>
        <v>1</v>
      </c>
      <c r="U37" s="4" t="str">
        <f t="shared" si="13"/>
        <v>Avai</v>
      </c>
      <c r="V37" s="4" t="b">
        <f t="shared" si="10"/>
        <v>0</v>
      </c>
      <c r="W37">
        <f t="shared" si="14"/>
        <v>0</v>
      </c>
      <c r="X37">
        <f t="shared" si="16"/>
        <v>0</v>
      </c>
    </row>
    <row r="38" spans="13:24" x14ac:dyDescent="0.3">
      <c r="M38" s="15">
        <f t="shared" si="3"/>
        <v>0</v>
      </c>
      <c r="N38" s="15">
        <f t="shared" si="4"/>
        <v>0</v>
      </c>
      <c r="O38" s="4">
        <f>IF(MATCH(Calendar!$C$2,Month,0)=MONTH($C38),1,0)</f>
        <v>0</v>
      </c>
      <c r="P38" s="4" t="b">
        <f t="shared" si="15"/>
        <v>0</v>
      </c>
      <c r="Q38" s="37" t="b">
        <f t="shared" si="6"/>
        <v>0</v>
      </c>
      <c r="R38" s="4" t="b">
        <f t="shared" si="7"/>
        <v>0</v>
      </c>
      <c r="S38" s="4" t="b">
        <f t="shared" si="8"/>
        <v>0</v>
      </c>
      <c r="T38" s="4" t="b">
        <f t="shared" si="9"/>
        <v>1</v>
      </c>
      <c r="U38" s="4" t="str">
        <f t="shared" si="13"/>
        <v>Avai</v>
      </c>
      <c r="V38" s="4" t="b">
        <f t="shared" si="10"/>
        <v>0</v>
      </c>
      <c r="W38">
        <f t="shared" si="14"/>
        <v>0</v>
      </c>
      <c r="X38">
        <f t="shared" si="16"/>
        <v>0</v>
      </c>
    </row>
    <row r="39" spans="13:24" x14ac:dyDescent="0.3">
      <c r="M39" s="15">
        <f t="shared" si="3"/>
        <v>0</v>
      </c>
      <c r="N39" s="15">
        <f t="shared" si="4"/>
        <v>0</v>
      </c>
      <c r="O39" s="4">
        <f>IF(MATCH(Calendar!$C$2,Month,0)=MONTH($C39),1,0)</f>
        <v>0</v>
      </c>
      <c r="P39" s="4" t="b">
        <f t="shared" si="15"/>
        <v>0</v>
      </c>
      <c r="Q39" s="37" t="b">
        <f t="shared" si="6"/>
        <v>0</v>
      </c>
      <c r="R39" s="4" t="b">
        <f t="shared" si="7"/>
        <v>0</v>
      </c>
      <c r="S39" s="4" t="b">
        <f t="shared" si="8"/>
        <v>0</v>
      </c>
      <c r="T39" s="4" t="b">
        <f t="shared" si="9"/>
        <v>1</v>
      </c>
      <c r="U39" s="4" t="str">
        <f t="shared" si="13"/>
        <v>Avai</v>
      </c>
      <c r="V39" s="4" t="b">
        <f t="shared" si="10"/>
        <v>0</v>
      </c>
      <c r="W39">
        <f t="shared" si="14"/>
        <v>0</v>
      </c>
      <c r="X39">
        <f t="shared" si="16"/>
        <v>0</v>
      </c>
    </row>
    <row r="40" spans="13:24" x14ac:dyDescent="0.3">
      <c r="M40" s="15">
        <f t="shared" si="3"/>
        <v>0</v>
      </c>
      <c r="N40" s="15">
        <f t="shared" si="4"/>
        <v>0</v>
      </c>
      <c r="O40" s="4">
        <f>IF(MATCH(Calendar!$C$2,Month,0)=MONTH($C40),1,0)</f>
        <v>0</v>
      </c>
      <c r="P40" s="4" t="b">
        <f t="shared" si="15"/>
        <v>0</v>
      </c>
      <c r="Q40" s="37" t="b">
        <f t="shared" si="6"/>
        <v>0</v>
      </c>
      <c r="R40" s="4" t="b">
        <f t="shared" si="7"/>
        <v>0</v>
      </c>
      <c r="S40" s="4" t="b">
        <f t="shared" si="8"/>
        <v>0</v>
      </c>
      <c r="T40" s="4" t="b">
        <f t="shared" si="9"/>
        <v>1</v>
      </c>
      <c r="U40" s="4" t="str">
        <f t="shared" si="13"/>
        <v>Avai</v>
      </c>
      <c r="V40" s="4" t="b">
        <f t="shared" si="10"/>
        <v>0</v>
      </c>
      <c r="W40">
        <f t="shared" si="14"/>
        <v>0</v>
      </c>
      <c r="X40">
        <f t="shared" si="16"/>
        <v>0</v>
      </c>
    </row>
    <row r="41" spans="13:24" x14ac:dyDescent="0.3">
      <c r="M41" s="15">
        <f t="shared" si="3"/>
        <v>0</v>
      </c>
      <c r="N41" s="15">
        <f t="shared" si="4"/>
        <v>0</v>
      </c>
      <c r="O41" s="4">
        <f>IF(MATCH(Calendar!$C$2,Month,0)=MONTH($C41),1,0)</f>
        <v>0</v>
      </c>
      <c r="P41" s="4" t="b">
        <f t="shared" si="15"/>
        <v>0</v>
      </c>
      <c r="Q41" s="37" t="b">
        <f t="shared" si="6"/>
        <v>0</v>
      </c>
      <c r="R41" s="4" t="b">
        <f t="shared" si="7"/>
        <v>0</v>
      </c>
      <c r="S41" s="4" t="b">
        <f t="shared" si="8"/>
        <v>0</v>
      </c>
      <c r="T41" s="4" t="b">
        <f t="shared" si="9"/>
        <v>1</v>
      </c>
      <c r="U41" s="4" t="str">
        <f t="shared" si="13"/>
        <v>Avai</v>
      </c>
      <c r="V41" s="4" t="b">
        <f t="shared" si="10"/>
        <v>0</v>
      </c>
      <c r="W41">
        <f t="shared" si="14"/>
        <v>0</v>
      </c>
      <c r="X41">
        <f t="shared" si="16"/>
        <v>0</v>
      </c>
    </row>
    <row r="42" spans="13:24" x14ac:dyDescent="0.3">
      <c r="M42" s="15">
        <f t="shared" si="3"/>
        <v>0</v>
      </c>
      <c r="N42" s="15">
        <f t="shared" si="4"/>
        <v>0</v>
      </c>
      <c r="O42" s="4">
        <f>IF(MATCH(Calendar!$C$2,Month,0)=MONTH($C42),1,0)</f>
        <v>0</v>
      </c>
      <c r="P42" s="4" t="b">
        <f t="shared" si="15"/>
        <v>0</v>
      </c>
      <c r="Q42" s="37" t="b">
        <f t="shared" si="6"/>
        <v>0</v>
      </c>
      <c r="R42" s="4" t="b">
        <f t="shared" si="7"/>
        <v>0</v>
      </c>
      <c r="S42" s="4" t="b">
        <f t="shared" si="8"/>
        <v>0</v>
      </c>
      <c r="T42" s="4" t="b">
        <f t="shared" si="9"/>
        <v>1</v>
      </c>
      <c r="U42" s="4" t="str">
        <f t="shared" si="13"/>
        <v>Avai</v>
      </c>
      <c r="V42" s="4" t="b">
        <f t="shared" si="10"/>
        <v>0</v>
      </c>
      <c r="W42">
        <f t="shared" si="14"/>
        <v>0</v>
      </c>
      <c r="X42">
        <f t="shared" si="16"/>
        <v>0</v>
      </c>
    </row>
    <row r="43" spans="13:24" x14ac:dyDescent="0.3">
      <c r="M43" s="15">
        <f t="shared" si="3"/>
        <v>0</v>
      </c>
      <c r="N43" s="15">
        <f t="shared" si="4"/>
        <v>0</v>
      </c>
      <c r="O43" s="4">
        <f>IF(MATCH(Calendar!$C$2,Month,0)=MONTH($C43),1,0)</f>
        <v>0</v>
      </c>
      <c r="P43" s="4" t="b">
        <f t="shared" si="15"/>
        <v>0</v>
      </c>
      <c r="Q43" s="37" t="b">
        <f t="shared" si="6"/>
        <v>0</v>
      </c>
      <c r="R43" s="4" t="b">
        <f t="shared" si="7"/>
        <v>0</v>
      </c>
      <c r="S43" s="4" t="b">
        <f t="shared" si="8"/>
        <v>0</v>
      </c>
      <c r="T43" s="4" t="b">
        <f t="shared" si="9"/>
        <v>1</v>
      </c>
      <c r="U43" s="4" t="str">
        <f t="shared" si="13"/>
        <v>Avai</v>
      </c>
      <c r="V43" s="4" t="b">
        <f t="shared" si="10"/>
        <v>0</v>
      </c>
      <c r="W43">
        <f t="shared" si="14"/>
        <v>0</v>
      </c>
      <c r="X43">
        <f t="shared" si="16"/>
        <v>0</v>
      </c>
    </row>
    <row r="44" spans="13:24" x14ac:dyDescent="0.3">
      <c r="M44" s="15">
        <f t="shared" si="3"/>
        <v>0</v>
      </c>
      <c r="N44" s="15">
        <f t="shared" si="4"/>
        <v>0</v>
      </c>
      <c r="O44" s="4">
        <f>IF(MATCH(Calendar!$C$2,Month,0)=MONTH($C44),1,0)</f>
        <v>0</v>
      </c>
      <c r="P44" s="4" t="b">
        <f t="shared" si="15"/>
        <v>0</v>
      </c>
      <c r="Q44" s="37" t="b">
        <f t="shared" si="6"/>
        <v>0</v>
      </c>
      <c r="R44" s="4" t="b">
        <f t="shared" si="7"/>
        <v>0</v>
      </c>
      <c r="S44" s="4" t="b">
        <f t="shared" si="8"/>
        <v>0</v>
      </c>
      <c r="T44" s="4" t="b">
        <f t="shared" si="9"/>
        <v>1</v>
      </c>
      <c r="U44" s="4" t="str">
        <f t="shared" si="13"/>
        <v>Avai</v>
      </c>
      <c r="V44" s="4" t="b">
        <f t="shared" si="10"/>
        <v>0</v>
      </c>
      <c r="W44">
        <f t="shared" si="14"/>
        <v>0</v>
      </c>
      <c r="X44">
        <f t="shared" si="16"/>
        <v>0</v>
      </c>
    </row>
    <row r="45" spans="13:24" x14ac:dyDescent="0.3">
      <c r="M45" s="15">
        <f t="shared" si="3"/>
        <v>0</v>
      </c>
      <c r="N45" s="15">
        <f t="shared" si="4"/>
        <v>0</v>
      </c>
      <c r="O45" s="4">
        <f>IF(MATCH(Calendar!$C$2,Month,0)=MONTH($C45),1,0)</f>
        <v>0</v>
      </c>
      <c r="P45" s="4" t="b">
        <f t="shared" si="15"/>
        <v>0</v>
      </c>
      <c r="Q45" s="37" t="b">
        <f t="shared" si="6"/>
        <v>0</v>
      </c>
      <c r="R45" s="4" t="b">
        <f t="shared" si="7"/>
        <v>0</v>
      </c>
      <c r="S45" s="4" t="b">
        <f t="shared" si="8"/>
        <v>0</v>
      </c>
      <c r="T45" s="4" t="b">
        <f t="shared" si="9"/>
        <v>1</v>
      </c>
      <c r="U45" s="4" t="str">
        <f t="shared" si="13"/>
        <v>Avai</v>
      </c>
      <c r="V45" s="4" t="b">
        <f t="shared" si="10"/>
        <v>0</v>
      </c>
      <c r="W45">
        <f t="shared" si="14"/>
        <v>0</v>
      </c>
      <c r="X45">
        <f t="shared" si="16"/>
        <v>0</v>
      </c>
    </row>
    <row r="46" spans="13:24" x14ac:dyDescent="0.3">
      <c r="M46" s="15">
        <f t="shared" si="3"/>
        <v>0</v>
      </c>
      <c r="N46" s="15">
        <f t="shared" si="4"/>
        <v>0</v>
      </c>
      <c r="O46" s="4">
        <f>IF(MATCH(Calendar!$C$2,Month,0)=MONTH($C46),1,0)</f>
        <v>0</v>
      </c>
      <c r="P46" s="4" t="b">
        <f t="shared" si="15"/>
        <v>0</v>
      </c>
      <c r="Q46" s="37" t="b">
        <f t="shared" si="6"/>
        <v>0</v>
      </c>
      <c r="R46" s="4" t="b">
        <f t="shared" si="7"/>
        <v>0</v>
      </c>
      <c r="S46" s="4" t="b">
        <f t="shared" si="8"/>
        <v>0</v>
      </c>
      <c r="T46" s="4" t="b">
        <f t="shared" si="9"/>
        <v>1</v>
      </c>
      <c r="U46" s="4" t="str">
        <f t="shared" si="13"/>
        <v>Avai</v>
      </c>
      <c r="V46" s="4" t="b">
        <f t="shared" si="10"/>
        <v>0</v>
      </c>
      <c r="W46">
        <f t="shared" si="14"/>
        <v>0</v>
      </c>
      <c r="X46">
        <f t="shared" si="16"/>
        <v>0</v>
      </c>
    </row>
    <row r="47" spans="13:24" x14ac:dyDescent="0.3">
      <c r="M47" s="15">
        <f t="shared" si="3"/>
        <v>0</v>
      </c>
      <c r="N47" s="15">
        <f t="shared" si="4"/>
        <v>0</v>
      </c>
      <c r="O47" s="4">
        <f>IF(MATCH(Calendar!$C$2,Month,0)=MONTH($C47),1,0)</f>
        <v>0</v>
      </c>
      <c r="P47" s="4" t="b">
        <f t="shared" si="15"/>
        <v>0</v>
      </c>
      <c r="Q47" s="37" t="b">
        <f t="shared" si="6"/>
        <v>0</v>
      </c>
      <c r="R47" s="4" t="b">
        <f t="shared" si="7"/>
        <v>0</v>
      </c>
      <c r="S47" s="4" t="b">
        <f t="shared" si="8"/>
        <v>0</v>
      </c>
      <c r="T47" s="4" t="b">
        <f t="shared" si="9"/>
        <v>1</v>
      </c>
      <c r="U47" s="4" t="str">
        <f t="shared" si="13"/>
        <v>Avai</v>
      </c>
      <c r="V47" s="4" t="b">
        <f t="shared" si="10"/>
        <v>0</v>
      </c>
      <c r="W47">
        <f t="shared" si="14"/>
        <v>0</v>
      </c>
      <c r="X47">
        <f t="shared" si="16"/>
        <v>0</v>
      </c>
    </row>
    <row r="48" spans="13:24" x14ac:dyDescent="0.3">
      <c r="M48" s="15">
        <f t="shared" si="3"/>
        <v>0</v>
      </c>
      <c r="N48" s="15">
        <f t="shared" si="4"/>
        <v>0</v>
      </c>
      <c r="O48" s="4">
        <f>IF(MATCH(Calendar!$C$2,Month,0)=MONTH($C48),1,0)</f>
        <v>0</v>
      </c>
      <c r="P48" s="4" t="b">
        <f t="shared" si="15"/>
        <v>0</v>
      </c>
      <c r="Q48" s="37" t="b">
        <f t="shared" si="6"/>
        <v>0</v>
      </c>
      <c r="R48" s="4" t="b">
        <f t="shared" si="7"/>
        <v>0</v>
      </c>
      <c r="S48" s="4" t="b">
        <f t="shared" si="8"/>
        <v>0</v>
      </c>
      <c r="T48" s="4" t="b">
        <f t="shared" si="9"/>
        <v>1</v>
      </c>
      <c r="U48" s="4" t="str">
        <f t="shared" si="13"/>
        <v>Avai</v>
      </c>
      <c r="V48" s="4" t="b">
        <f t="shared" si="10"/>
        <v>0</v>
      </c>
      <c r="W48">
        <f t="shared" si="14"/>
        <v>0</v>
      </c>
      <c r="X48">
        <f t="shared" si="16"/>
        <v>0</v>
      </c>
    </row>
    <row r="49" spans="13:24" x14ac:dyDescent="0.3">
      <c r="M49" s="15">
        <f t="shared" si="3"/>
        <v>0</v>
      </c>
      <c r="N49" s="15">
        <f t="shared" si="4"/>
        <v>0</v>
      </c>
      <c r="O49" s="4">
        <f>IF(MATCH(Calendar!$C$2,Month,0)=MONTH($C49),1,0)</f>
        <v>0</v>
      </c>
      <c r="P49" s="4" t="b">
        <f t="shared" si="15"/>
        <v>0</v>
      </c>
      <c r="Q49" s="37" t="b">
        <f t="shared" si="6"/>
        <v>0</v>
      </c>
      <c r="R49" s="4" t="b">
        <f t="shared" si="7"/>
        <v>0</v>
      </c>
      <c r="S49" s="4" t="b">
        <f t="shared" si="8"/>
        <v>0</v>
      </c>
      <c r="T49" s="4" t="b">
        <f t="shared" si="9"/>
        <v>1</v>
      </c>
      <c r="U49" s="4" t="str">
        <f t="shared" si="13"/>
        <v>Avai</v>
      </c>
      <c r="V49" s="4" t="b">
        <f t="shared" si="10"/>
        <v>0</v>
      </c>
      <c r="W49">
        <f t="shared" si="14"/>
        <v>0</v>
      </c>
      <c r="X49">
        <f t="shared" si="16"/>
        <v>0</v>
      </c>
    </row>
    <row r="50" spans="13:24" x14ac:dyDescent="0.3">
      <c r="M50" s="15">
        <f t="shared" si="3"/>
        <v>0</v>
      </c>
      <c r="N50" s="15">
        <f t="shared" si="4"/>
        <v>0</v>
      </c>
      <c r="O50" s="4">
        <f>IF(MATCH(Calendar!$C$2,Month,0)=MONTH($C50),1,0)</f>
        <v>0</v>
      </c>
      <c r="P50" s="4" t="b">
        <f t="shared" si="15"/>
        <v>0</v>
      </c>
      <c r="Q50" s="37" t="b">
        <f t="shared" si="6"/>
        <v>0</v>
      </c>
      <c r="R50" s="4" t="b">
        <f t="shared" si="7"/>
        <v>0</v>
      </c>
      <c r="S50" s="4" t="b">
        <f t="shared" si="8"/>
        <v>0</v>
      </c>
      <c r="T50" s="4" t="b">
        <f t="shared" si="9"/>
        <v>1</v>
      </c>
      <c r="U50" s="4" t="str">
        <f t="shared" si="13"/>
        <v>Avai</v>
      </c>
      <c r="V50" s="4" t="b">
        <f t="shared" si="10"/>
        <v>0</v>
      </c>
      <c r="W50">
        <f t="shared" si="14"/>
        <v>0</v>
      </c>
      <c r="X50">
        <f t="shared" si="16"/>
        <v>0</v>
      </c>
    </row>
    <row r="51" spans="13:24" x14ac:dyDescent="0.3">
      <c r="M51" s="15">
        <f t="shared" si="3"/>
        <v>0</v>
      </c>
      <c r="N51" s="15">
        <f t="shared" si="4"/>
        <v>0</v>
      </c>
      <c r="O51" s="4">
        <f>IF(MATCH(Calendar!$C$2,Month,0)=MONTH($C51),1,0)</f>
        <v>0</v>
      </c>
      <c r="P51" s="4" t="b">
        <f t="shared" si="15"/>
        <v>0</v>
      </c>
      <c r="Q51" s="37" t="b">
        <f t="shared" si="6"/>
        <v>0</v>
      </c>
      <c r="R51" s="4" t="b">
        <f t="shared" si="7"/>
        <v>0</v>
      </c>
      <c r="S51" s="4" t="b">
        <f t="shared" si="8"/>
        <v>0</v>
      </c>
      <c r="T51" s="4" t="b">
        <f t="shared" si="9"/>
        <v>1</v>
      </c>
      <c r="U51" s="4" t="str">
        <f t="shared" si="13"/>
        <v>Avai</v>
      </c>
      <c r="V51" s="4" t="b">
        <f t="shared" si="10"/>
        <v>0</v>
      </c>
      <c r="W51">
        <f t="shared" si="14"/>
        <v>0</v>
      </c>
      <c r="X51">
        <f t="shared" si="16"/>
        <v>0</v>
      </c>
    </row>
    <row r="52" spans="13:24" x14ac:dyDescent="0.3">
      <c r="M52" s="15">
        <f t="shared" si="3"/>
        <v>0</v>
      </c>
      <c r="N52" s="15">
        <f t="shared" si="4"/>
        <v>0</v>
      </c>
      <c r="O52" s="4">
        <f>IF(MATCH(Calendar!$C$2,Month,0)=MONTH($C52),1,0)</f>
        <v>0</v>
      </c>
      <c r="P52" s="4" t="b">
        <f t="shared" si="15"/>
        <v>0</v>
      </c>
      <c r="Q52" s="37" t="b">
        <f t="shared" si="6"/>
        <v>0</v>
      </c>
      <c r="R52" s="4" t="b">
        <f t="shared" si="7"/>
        <v>0</v>
      </c>
      <c r="S52" s="4" t="b">
        <f t="shared" si="8"/>
        <v>0</v>
      </c>
      <c r="T52" s="4" t="b">
        <f t="shared" si="9"/>
        <v>1</v>
      </c>
      <c r="U52" s="4" t="str">
        <f t="shared" si="13"/>
        <v>Avai</v>
      </c>
      <c r="V52" s="4" t="b">
        <f t="shared" si="10"/>
        <v>0</v>
      </c>
      <c r="W52">
        <f t="shared" si="14"/>
        <v>0</v>
      </c>
      <c r="X52">
        <f t="shared" si="16"/>
        <v>0</v>
      </c>
    </row>
    <row r="53" spans="13:24" x14ac:dyDescent="0.3">
      <c r="M53" s="15">
        <f t="shared" si="3"/>
        <v>0</v>
      </c>
      <c r="N53" s="15">
        <f t="shared" si="4"/>
        <v>0</v>
      </c>
      <c r="O53" s="4">
        <f>IF(MATCH(Calendar!$C$2,Month,0)=MONTH($C53),1,0)</f>
        <v>0</v>
      </c>
      <c r="P53" s="4" t="b">
        <f t="shared" si="15"/>
        <v>0</v>
      </c>
      <c r="Q53" s="37" t="b">
        <f t="shared" si="6"/>
        <v>0</v>
      </c>
      <c r="R53" s="4" t="b">
        <f t="shared" si="7"/>
        <v>0</v>
      </c>
      <c r="S53" s="4" t="b">
        <f t="shared" si="8"/>
        <v>0</v>
      </c>
      <c r="T53" s="4" t="b">
        <f t="shared" si="9"/>
        <v>1</v>
      </c>
      <c r="U53" s="4" t="str">
        <f t="shared" si="13"/>
        <v>Avai</v>
      </c>
      <c r="V53" s="4" t="b">
        <f t="shared" si="10"/>
        <v>0</v>
      </c>
      <c r="W53">
        <f t="shared" si="14"/>
        <v>0</v>
      </c>
      <c r="X53">
        <f t="shared" si="16"/>
        <v>0</v>
      </c>
    </row>
    <row r="54" spans="13:24" x14ac:dyDescent="0.3">
      <c r="M54" s="15">
        <f t="shared" si="3"/>
        <v>0</v>
      </c>
      <c r="N54" s="15">
        <f t="shared" si="4"/>
        <v>0</v>
      </c>
      <c r="O54" s="4">
        <f>IF(MATCH(Calendar!$C$2,Month,0)=MONTH($C54),1,0)</f>
        <v>0</v>
      </c>
      <c r="P54" s="4" t="b">
        <f t="shared" si="15"/>
        <v>0</v>
      </c>
      <c r="Q54" s="37" t="b">
        <f t="shared" si="6"/>
        <v>0</v>
      </c>
      <c r="R54" s="4" t="b">
        <f t="shared" si="7"/>
        <v>0</v>
      </c>
      <c r="S54" s="4" t="b">
        <f t="shared" si="8"/>
        <v>0</v>
      </c>
      <c r="T54" s="4" t="b">
        <f t="shared" si="9"/>
        <v>1</v>
      </c>
      <c r="U54" s="4" t="str">
        <f t="shared" si="13"/>
        <v>Avai</v>
      </c>
      <c r="V54" s="4" t="b">
        <f t="shared" si="10"/>
        <v>0</v>
      </c>
      <c r="W54">
        <f t="shared" si="14"/>
        <v>0</v>
      </c>
      <c r="X54">
        <f t="shared" si="16"/>
        <v>0</v>
      </c>
    </row>
    <row r="55" spans="13:24" x14ac:dyDescent="0.3">
      <c r="M55" s="15">
        <f t="shared" si="3"/>
        <v>0</v>
      </c>
      <c r="N55" s="15">
        <f t="shared" si="4"/>
        <v>0</v>
      </c>
      <c r="O55" s="4">
        <f>IF(MATCH(Calendar!$C$2,Month,0)=MONTH($C55),1,0)</f>
        <v>0</v>
      </c>
      <c r="P55" s="4" t="b">
        <f t="shared" si="15"/>
        <v>0</v>
      </c>
      <c r="Q55" s="37" t="b">
        <f t="shared" si="6"/>
        <v>0</v>
      </c>
      <c r="R55" s="4" t="b">
        <f t="shared" si="7"/>
        <v>0</v>
      </c>
      <c r="S55" s="4" t="b">
        <f t="shared" si="8"/>
        <v>0</v>
      </c>
      <c r="T55" s="4" t="b">
        <f t="shared" si="9"/>
        <v>1</v>
      </c>
      <c r="U55" s="4" t="str">
        <f t="shared" si="13"/>
        <v>Avai</v>
      </c>
      <c r="V55" s="4" t="b">
        <f t="shared" si="10"/>
        <v>0</v>
      </c>
      <c r="W55">
        <f t="shared" si="14"/>
        <v>0</v>
      </c>
      <c r="X55">
        <f t="shared" si="16"/>
        <v>0</v>
      </c>
    </row>
    <row r="56" spans="13:24" x14ac:dyDescent="0.3">
      <c r="M56" s="15">
        <f t="shared" si="3"/>
        <v>0</v>
      </c>
      <c r="N56" s="15">
        <f t="shared" si="4"/>
        <v>0</v>
      </c>
      <c r="O56" s="4">
        <f>IF(MATCH(Calendar!$C$2,Month,0)=MONTH($C56),1,0)</f>
        <v>0</v>
      </c>
      <c r="P56" s="4" t="b">
        <f t="shared" si="15"/>
        <v>0</v>
      </c>
      <c r="Q56" s="37" t="b">
        <f t="shared" si="6"/>
        <v>0</v>
      </c>
      <c r="R56" s="4" t="b">
        <f t="shared" si="7"/>
        <v>0</v>
      </c>
      <c r="S56" s="4" t="b">
        <f t="shared" si="8"/>
        <v>0</v>
      </c>
      <c r="T56" s="4" t="b">
        <f t="shared" si="9"/>
        <v>1</v>
      </c>
      <c r="U56" s="4" t="str">
        <f t="shared" si="13"/>
        <v>Avai</v>
      </c>
      <c r="V56" s="4" t="b">
        <f t="shared" si="10"/>
        <v>0</v>
      </c>
      <c r="W56">
        <f t="shared" si="14"/>
        <v>0</v>
      </c>
      <c r="X56">
        <f t="shared" si="16"/>
        <v>0</v>
      </c>
    </row>
    <row r="57" spans="13:24" x14ac:dyDescent="0.3">
      <c r="M57" s="15">
        <f t="shared" si="3"/>
        <v>0</v>
      </c>
      <c r="N57" s="15">
        <f t="shared" si="4"/>
        <v>0</v>
      </c>
      <c r="O57" s="4">
        <f>IF(MATCH(Calendar!$C$2,Month,0)=MONTH($C57),1,0)</f>
        <v>0</v>
      </c>
      <c r="P57" s="4" t="b">
        <f t="shared" si="15"/>
        <v>0</v>
      </c>
      <c r="Q57" s="37" t="b">
        <f t="shared" si="6"/>
        <v>0</v>
      </c>
      <c r="R57" s="4" t="b">
        <f t="shared" si="7"/>
        <v>0</v>
      </c>
      <c r="S57" s="4" t="b">
        <f t="shared" si="8"/>
        <v>0</v>
      </c>
      <c r="T57" s="4" t="b">
        <f t="shared" si="9"/>
        <v>1</v>
      </c>
      <c r="U57" s="4" t="str">
        <f t="shared" si="13"/>
        <v>Avai</v>
      </c>
      <c r="V57" s="4" t="b">
        <f t="shared" si="10"/>
        <v>0</v>
      </c>
      <c r="W57">
        <f t="shared" si="14"/>
        <v>0</v>
      </c>
      <c r="X57">
        <f t="shared" si="16"/>
        <v>0</v>
      </c>
    </row>
    <row r="58" spans="13:24" x14ac:dyDescent="0.3">
      <c r="M58" s="15">
        <f t="shared" si="3"/>
        <v>0</v>
      </c>
      <c r="N58" s="15">
        <f t="shared" si="4"/>
        <v>0</v>
      </c>
      <c r="O58" s="4">
        <f>IF(MATCH(Calendar!$C$2,Month,0)=MONTH($C58),1,0)</f>
        <v>0</v>
      </c>
      <c r="P58" s="4" t="b">
        <f t="shared" si="15"/>
        <v>0</v>
      </c>
      <c r="Q58" s="37" t="b">
        <f t="shared" si="6"/>
        <v>0</v>
      </c>
      <c r="R58" s="4" t="b">
        <f t="shared" si="7"/>
        <v>0</v>
      </c>
      <c r="S58" s="4" t="b">
        <f t="shared" si="8"/>
        <v>0</v>
      </c>
      <c r="T58" s="4" t="b">
        <f t="shared" si="9"/>
        <v>1</v>
      </c>
      <c r="U58" s="4" t="str">
        <f t="shared" si="13"/>
        <v>Avai</v>
      </c>
      <c r="V58" s="4" t="b">
        <f t="shared" si="10"/>
        <v>0</v>
      </c>
      <c r="W58">
        <f t="shared" si="14"/>
        <v>0</v>
      </c>
      <c r="X58">
        <f t="shared" si="16"/>
        <v>0</v>
      </c>
    </row>
    <row r="59" spans="13:24" x14ac:dyDescent="0.3">
      <c r="M59" s="15">
        <f t="shared" si="3"/>
        <v>0</v>
      </c>
      <c r="N59" s="15">
        <f t="shared" si="4"/>
        <v>0</v>
      </c>
      <c r="O59" s="4">
        <f>IF(MATCH(Calendar!$C$2,Month,0)=MONTH($C59),1,0)</f>
        <v>0</v>
      </c>
      <c r="P59" s="4" t="b">
        <f t="shared" si="15"/>
        <v>0</v>
      </c>
      <c r="Q59" s="37" t="b">
        <f t="shared" si="6"/>
        <v>0</v>
      </c>
      <c r="R59" s="4" t="b">
        <f t="shared" si="7"/>
        <v>0</v>
      </c>
      <c r="S59" s="4" t="b">
        <f t="shared" si="8"/>
        <v>0</v>
      </c>
      <c r="T59" s="4" t="b">
        <f t="shared" si="9"/>
        <v>1</v>
      </c>
      <c r="U59" s="4" t="str">
        <f t="shared" si="13"/>
        <v>Avai</v>
      </c>
      <c r="V59" s="4" t="b">
        <f t="shared" si="10"/>
        <v>0</v>
      </c>
      <c r="W59">
        <f t="shared" si="14"/>
        <v>0</v>
      </c>
      <c r="X59">
        <f t="shared" si="16"/>
        <v>0</v>
      </c>
    </row>
    <row r="60" spans="13:24" x14ac:dyDescent="0.3">
      <c r="M60" s="15">
        <f t="shared" si="3"/>
        <v>0</v>
      </c>
      <c r="N60" s="15">
        <f t="shared" si="4"/>
        <v>0</v>
      </c>
      <c r="O60" s="4">
        <f>IF(MATCH(Calendar!$C$2,Month,0)=MONTH($C60),1,0)</f>
        <v>0</v>
      </c>
      <c r="P60" s="4" t="b">
        <f t="shared" si="15"/>
        <v>0</v>
      </c>
      <c r="Q60" s="37" t="b">
        <f t="shared" si="6"/>
        <v>0</v>
      </c>
      <c r="R60" s="4" t="b">
        <f t="shared" si="7"/>
        <v>0</v>
      </c>
      <c r="S60" s="4" t="b">
        <f t="shared" si="8"/>
        <v>0</v>
      </c>
      <c r="T60" s="4" t="b">
        <f t="shared" si="9"/>
        <v>1</v>
      </c>
      <c r="U60" s="4" t="str">
        <f t="shared" si="13"/>
        <v>Avai</v>
      </c>
      <c r="V60" s="4" t="b">
        <f t="shared" si="10"/>
        <v>0</v>
      </c>
      <c r="W60">
        <f t="shared" si="14"/>
        <v>0</v>
      </c>
      <c r="X60">
        <f t="shared" si="16"/>
        <v>0</v>
      </c>
    </row>
    <row r="61" spans="13:24" x14ac:dyDescent="0.3">
      <c r="M61" s="15">
        <f t="shared" si="3"/>
        <v>0</v>
      </c>
      <c r="N61" s="15">
        <f t="shared" si="4"/>
        <v>0</v>
      </c>
      <c r="O61" s="4">
        <f>IF(MATCH(Calendar!$C$2,Month,0)=MONTH($C61),1,0)</f>
        <v>0</v>
      </c>
      <c r="P61" s="4" t="b">
        <f t="shared" si="15"/>
        <v>0</v>
      </c>
      <c r="Q61" s="37" t="b">
        <f t="shared" si="6"/>
        <v>0</v>
      </c>
      <c r="R61" s="4" t="b">
        <f t="shared" si="7"/>
        <v>0</v>
      </c>
      <c r="S61" s="4" t="b">
        <f t="shared" si="8"/>
        <v>0</v>
      </c>
      <c r="T61" s="4" t="b">
        <f t="shared" si="9"/>
        <v>1</v>
      </c>
      <c r="U61" s="4" t="str">
        <f t="shared" si="13"/>
        <v>Avai</v>
      </c>
      <c r="V61" s="4" t="b">
        <f t="shared" si="10"/>
        <v>0</v>
      </c>
      <c r="W61">
        <f t="shared" si="14"/>
        <v>0</v>
      </c>
      <c r="X61">
        <f t="shared" si="16"/>
        <v>0</v>
      </c>
    </row>
    <row r="62" spans="13:24" x14ac:dyDescent="0.3">
      <c r="M62" s="15">
        <f t="shared" si="3"/>
        <v>0</v>
      </c>
      <c r="N62" s="15">
        <f t="shared" si="4"/>
        <v>0</v>
      </c>
      <c r="O62" s="4">
        <f>IF(MATCH(Calendar!$C$2,Month,0)=MONTH($C62),1,0)</f>
        <v>0</v>
      </c>
      <c r="P62" s="4" t="b">
        <f t="shared" si="15"/>
        <v>0</v>
      </c>
      <c r="Q62" s="37" t="b">
        <f t="shared" si="6"/>
        <v>0</v>
      </c>
      <c r="R62" s="4" t="b">
        <f t="shared" si="7"/>
        <v>0</v>
      </c>
      <c r="S62" s="4" t="b">
        <f t="shared" si="8"/>
        <v>0</v>
      </c>
      <c r="T62" s="4" t="b">
        <f t="shared" si="9"/>
        <v>1</v>
      </c>
      <c r="U62" s="4" t="str">
        <f t="shared" si="13"/>
        <v>Avai</v>
      </c>
      <c r="V62" s="4" t="b">
        <f t="shared" si="10"/>
        <v>0</v>
      </c>
      <c r="W62">
        <f t="shared" si="14"/>
        <v>0</v>
      </c>
      <c r="X62">
        <f t="shared" si="16"/>
        <v>0</v>
      </c>
    </row>
  </sheetData>
  <mergeCells count="2">
    <mergeCell ref="AH1:AI1"/>
    <mergeCell ref="C1:J1"/>
  </mergeCells>
  <conditionalFormatting sqref="V1:V1048576">
    <cfRule type="containsText" dxfId="18" priority="3" operator="containsText" text="true">
      <formula>NOT(ISERROR(SEARCH("true",V1)))</formula>
    </cfRule>
  </conditionalFormatting>
  <conditionalFormatting sqref="P1:U1048576 X2">
    <cfRule type="containsText" dxfId="17" priority="2" operator="containsText" text="true">
      <formula>NOT(ISERROR(SEARCH("true",P1)))</formula>
    </cfRule>
  </conditionalFormatting>
  <conditionalFormatting sqref="U1:U1048576 X2">
    <cfRule type="cellIs" dxfId="16" priority="1" operator="equal">
      <formula>"Unvai"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D9A9-7207-4FA6-8594-A3CEA1256222}">
  <sheetPr codeName="Sh_Home">
    <tabColor rgb="FF00B0F0"/>
  </sheetPr>
  <dimension ref="A1:S26"/>
  <sheetViews>
    <sheetView showGridLines="0" showRowColHeaders="0" tabSelected="1" zoomScale="115" zoomScaleNormal="115" workbookViewId="0">
      <selection activeCell="M19" sqref="M19"/>
    </sheetView>
  </sheetViews>
  <sheetFormatPr defaultRowHeight="14.4" x14ac:dyDescent="0.3"/>
  <cols>
    <col min="2" max="2" width="11.33203125" bestFit="1" customWidth="1"/>
    <col min="3" max="3" width="14.44140625" style="4" customWidth="1"/>
    <col min="4" max="4" width="10.5546875" customWidth="1"/>
    <col min="6" max="7" width="9.6640625" customWidth="1"/>
    <col min="9" max="9" width="10.33203125" bestFit="1" customWidth="1"/>
    <col min="12" max="12" width="12.88671875" customWidth="1"/>
    <col min="13" max="13" width="13.33203125" customWidth="1"/>
  </cols>
  <sheetData>
    <row r="1" spans="1:19" x14ac:dyDescent="0.3">
      <c r="A1" s="54"/>
      <c r="B1" s="54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</row>
    <row r="2" spans="1:19" x14ac:dyDescent="0.3">
      <c r="A2" s="54"/>
      <c r="B2" s="54"/>
      <c r="C2" s="53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</row>
    <row r="3" spans="1:19" ht="15" thickBot="1" x14ac:dyDescent="0.35">
      <c r="A3" s="54"/>
      <c r="B3" s="54"/>
      <c r="C3" s="53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</row>
    <row r="4" spans="1:19" ht="15" thickBot="1" x14ac:dyDescent="0.35">
      <c r="A4" s="54"/>
      <c r="B4" s="54"/>
      <c r="C4" s="58" t="s">
        <v>71</v>
      </c>
      <c r="D4" s="59" t="s">
        <v>43</v>
      </c>
      <c r="E4" s="59" t="s">
        <v>73</v>
      </c>
      <c r="F4" s="59" t="s">
        <v>74</v>
      </c>
      <c r="G4" s="60" t="s">
        <v>75</v>
      </c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</row>
    <row r="5" spans="1:19" s="21" customFormat="1" thickBot="1" x14ac:dyDescent="0.35">
      <c r="A5" s="55"/>
      <c r="B5" s="55"/>
      <c r="C5" s="69">
        <v>2024</v>
      </c>
      <c r="D5" s="68" t="s">
        <v>53</v>
      </c>
      <c r="E5" s="61">
        <v>10</v>
      </c>
      <c r="F5" s="62">
        <f>E5+G5</f>
        <v>11</v>
      </c>
      <c r="G5" s="63">
        <v>1</v>
      </c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</row>
    <row r="6" spans="1:19" x14ac:dyDescent="0.3">
      <c r="A6" s="54"/>
      <c r="B6" s="54"/>
      <c r="C6" s="53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</row>
    <row r="7" spans="1:19" ht="15" thickBot="1" x14ac:dyDescent="0.35">
      <c r="A7" s="54"/>
      <c r="B7" s="54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</row>
    <row r="8" spans="1:19" ht="15" thickBot="1" x14ac:dyDescent="0.35">
      <c r="A8" s="54"/>
      <c r="B8" s="64" t="s">
        <v>40</v>
      </c>
      <c r="C8" s="65" t="s">
        <v>1</v>
      </c>
      <c r="D8" s="54"/>
      <c r="E8" s="76" t="s">
        <v>81</v>
      </c>
      <c r="F8" s="77"/>
      <c r="G8" s="77"/>
      <c r="H8" s="77"/>
      <c r="I8" s="77"/>
      <c r="J8" s="77"/>
      <c r="K8" s="77"/>
      <c r="L8" s="78"/>
      <c r="M8" s="54"/>
      <c r="N8" s="54"/>
      <c r="O8" s="54"/>
      <c r="P8" s="54"/>
      <c r="Q8" s="54"/>
      <c r="R8" s="54"/>
      <c r="S8" s="54"/>
    </row>
    <row r="9" spans="1:19" ht="15" thickBot="1" x14ac:dyDescent="0.35">
      <c r="A9" s="54"/>
      <c r="B9" s="56"/>
      <c r="C9" s="57"/>
      <c r="D9" s="54"/>
      <c r="E9" s="17" t="s">
        <v>73</v>
      </c>
      <c r="F9" s="17" t="s">
        <v>74</v>
      </c>
      <c r="G9" s="17" t="s">
        <v>75</v>
      </c>
      <c r="H9" s="17" t="s">
        <v>40</v>
      </c>
      <c r="I9" s="17" t="s">
        <v>79</v>
      </c>
      <c r="J9" s="17" t="s">
        <v>76</v>
      </c>
      <c r="K9" s="17" t="s">
        <v>77</v>
      </c>
      <c r="L9" s="17" t="s">
        <v>78</v>
      </c>
      <c r="M9" s="54"/>
      <c r="N9" s="54"/>
      <c r="O9" s="54"/>
      <c r="P9" s="54"/>
      <c r="Q9" s="54"/>
      <c r="R9" s="54"/>
      <c r="S9" s="54"/>
    </row>
    <row r="10" spans="1:19" ht="15" thickBot="1" x14ac:dyDescent="0.35">
      <c r="A10" s="54"/>
      <c r="B10" s="64" t="s">
        <v>76</v>
      </c>
      <c r="C10" s="66" t="str">
        <f>INDEX(BedType,MATCH($C$8,Room,0))</f>
        <v>SingleBed</v>
      </c>
      <c r="D10" s="54"/>
      <c r="E10" s="18" t="str">
        <f>TEXT(E5&amp;D5&amp;C5,"dd-mm-yy")</f>
        <v>10-10-24</v>
      </c>
      <c r="F10" s="18" t="str">
        <f>TEXT(F5&amp;D5&amp;C5,"dd-mm-yy")</f>
        <v>11-10-24</v>
      </c>
      <c r="G10" s="18">
        <f>G5</f>
        <v>1</v>
      </c>
      <c r="H10" s="19" t="str">
        <f>C8</f>
        <v>B</v>
      </c>
      <c r="I10" s="18" t="str">
        <f>C12</f>
        <v>B7</v>
      </c>
      <c r="J10" s="18" t="str">
        <f>C10</f>
        <v>SingleBed</v>
      </c>
      <c r="K10" s="18" t="str">
        <f>C16</f>
        <v>Beer</v>
      </c>
      <c r="L10" s="18" t="str">
        <f>C18</f>
        <v>123-456</v>
      </c>
      <c r="M10" s="54"/>
      <c r="N10" s="54"/>
      <c r="O10" s="54"/>
      <c r="P10" s="54"/>
      <c r="Q10" s="54"/>
      <c r="R10" s="54"/>
      <c r="S10" s="54"/>
    </row>
    <row r="11" spans="1:19" ht="15" thickBot="1" x14ac:dyDescent="0.35">
      <c r="A11" s="54"/>
      <c r="B11" s="56"/>
      <c r="C11" s="57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</row>
    <row r="12" spans="1:19" ht="15" thickBot="1" x14ac:dyDescent="0.35">
      <c r="A12" s="54"/>
      <c r="B12" s="64" t="s">
        <v>79</v>
      </c>
      <c r="C12" s="63" t="s">
        <v>11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</row>
    <row r="13" spans="1:19" ht="15" thickBot="1" x14ac:dyDescent="0.35">
      <c r="A13" s="54"/>
      <c r="B13" s="56"/>
      <c r="C13" s="57"/>
      <c r="D13" s="54"/>
      <c r="E13" s="25" t="s">
        <v>73</v>
      </c>
      <c r="F13" s="25" t="s">
        <v>79</v>
      </c>
      <c r="G13" s="25" t="s">
        <v>77</v>
      </c>
      <c r="H13" s="25" t="s">
        <v>75</v>
      </c>
      <c r="I13" s="25" t="s">
        <v>78</v>
      </c>
      <c r="J13" s="54"/>
      <c r="K13" s="54"/>
      <c r="L13" s="54"/>
      <c r="M13" s="54"/>
      <c r="N13" s="54"/>
      <c r="O13" s="54"/>
      <c r="P13" s="54"/>
      <c r="Q13" s="54"/>
      <c r="R13" s="54"/>
      <c r="S13" s="54"/>
    </row>
    <row r="14" spans="1:19" ht="15" thickBot="1" x14ac:dyDescent="0.35">
      <c r="A14" s="54"/>
      <c r="B14" s="64" t="s">
        <v>80</v>
      </c>
      <c r="C14" s="67" t="str">
        <f>_xlfn.IFNA(INDEX(DataBase!$U$3:$U$62,MATCH("Unvai",DataBase!$U$3:$U$62,0),1),"Avai")</f>
        <v>Avai</v>
      </c>
      <c r="D14" s="54"/>
      <c r="E14" s="23">
        <v>45179</v>
      </c>
      <c r="F14" s="70" t="e" cm="1">
        <f t="array" aca="1" ref="F14" ca="1">OFFSET(DataBase!AB3,0,0,DataBase!$Z$5,4)</f>
        <v>#REF!</v>
      </c>
      <c r="G14" s="71"/>
      <c r="H14" s="71"/>
      <c r="I14" s="71"/>
      <c r="J14" s="54"/>
      <c r="K14" s="54"/>
      <c r="L14" s="54"/>
      <c r="M14" s="54"/>
      <c r="N14" s="54"/>
      <c r="O14" s="54"/>
      <c r="P14" s="54"/>
      <c r="Q14" s="54"/>
      <c r="R14" s="54"/>
      <c r="S14" s="54"/>
    </row>
    <row r="15" spans="1:19" ht="15" thickBot="1" x14ac:dyDescent="0.35">
      <c r="A15" s="54"/>
      <c r="B15" s="56"/>
      <c r="C15" s="57"/>
      <c r="D15" s="54"/>
      <c r="E15" s="54"/>
      <c r="F15" s="70"/>
      <c r="G15" s="71"/>
      <c r="H15" s="71"/>
      <c r="I15" s="71"/>
      <c r="J15" s="54"/>
      <c r="K15" s="54"/>
      <c r="L15" s="54"/>
      <c r="M15" s="54"/>
      <c r="N15" s="54"/>
      <c r="O15" s="54"/>
      <c r="P15" s="54"/>
      <c r="Q15" s="54"/>
      <c r="R15" s="54"/>
      <c r="S15" s="54"/>
    </row>
    <row r="16" spans="1:19" ht="15" thickBot="1" x14ac:dyDescent="0.35">
      <c r="A16" s="54"/>
      <c r="B16" s="64" t="s">
        <v>77</v>
      </c>
      <c r="C16" s="63" t="s">
        <v>83</v>
      </c>
      <c r="D16" s="53"/>
      <c r="E16" s="54"/>
      <c r="F16" s="70"/>
      <c r="G16" s="71"/>
      <c r="H16" s="71"/>
      <c r="I16" s="71"/>
      <c r="J16" s="54"/>
      <c r="K16" s="54"/>
      <c r="L16" s="54"/>
      <c r="M16" s="54"/>
      <c r="N16" s="54"/>
      <c r="O16" s="54"/>
      <c r="P16" s="54"/>
      <c r="Q16" s="54"/>
      <c r="R16" s="54"/>
      <c r="S16" s="54"/>
    </row>
    <row r="17" spans="1:19" ht="15" thickBot="1" x14ac:dyDescent="0.35">
      <c r="A17" s="54"/>
      <c r="B17" s="56"/>
      <c r="C17" s="57"/>
      <c r="D17" s="54"/>
      <c r="E17" s="54"/>
      <c r="F17" s="70"/>
      <c r="G17" s="71"/>
      <c r="H17" s="71"/>
      <c r="I17" s="71"/>
      <c r="J17" s="54"/>
      <c r="K17" s="54"/>
      <c r="L17" s="54"/>
      <c r="M17" s="54"/>
      <c r="N17" s="54"/>
      <c r="O17" s="54"/>
      <c r="P17" s="54"/>
      <c r="Q17" s="54"/>
      <c r="R17" s="54"/>
      <c r="S17" s="54"/>
    </row>
    <row r="18" spans="1:19" ht="15" thickBot="1" x14ac:dyDescent="0.35">
      <c r="A18" s="54"/>
      <c r="B18" s="64" t="s">
        <v>78</v>
      </c>
      <c r="C18" s="63" t="s">
        <v>82</v>
      </c>
      <c r="D18" s="54"/>
      <c r="E18" s="54"/>
      <c r="F18" s="70"/>
      <c r="G18" s="71"/>
      <c r="H18" s="71"/>
      <c r="I18" s="71"/>
      <c r="J18" s="54"/>
      <c r="K18" s="54"/>
      <c r="L18" s="54"/>
      <c r="M18" s="54"/>
      <c r="N18" s="54"/>
      <c r="O18" s="54"/>
      <c r="P18" s="54"/>
      <c r="Q18" s="54"/>
      <c r="R18" s="54"/>
      <c r="S18" s="54"/>
    </row>
    <row r="19" spans="1:19" x14ac:dyDescent="0.3">
      <c r="A19" s="54"/>
      <c r="B19" s="54"/>
      <c r="C19" s="53"/>
      <c r="D19" s="54"/>
      <c r="E19" s="54"/>
      <c r="F19" s="70"/>
      <c r="G19" s="71"/>
      <c r="H19" s="71"/>
      <c r="I19" s="71"/>
      <c r="J19" s="54"/>
      <c r="K19" s="54"/>
      <c r="L19" s="54"/>
      <c r="M19" s="54"/>
      <c r="N19" s="54"/>
      <c r="O19" s="54"/>
      <c r="P19" s="54"/>
      <c r="Q19" s="54"/>
      <c r="R19" s="54"/>
      <c r="S19" s="54"/>
    </row>
    <row r="20" spans="1:19" x14ac:dyDescent="0.3">
      <c r="A20" s="54"/>
      <c r="B20" s="54"/>
      <c r="C20" s="53"/>
      <c r="D20" s="54"/>
      <c r="E20" s="54"/>
      <c r="F20" s="70"/>
      <c r="G20" s="71"/>
      <c r="H20" s="71"/>
      <c r="I20" s="71"/>
      <c r="J20" s="54"/>
      <c r="K20" s="54"/>
      <c r="L20" s="54"/>
      <c r="M20" s="54"/>
      <c r="N20" s="54"/>
      <c r="O20" s="54"/>
      <c r="P20" s="54"/>
      <c r="Q20" s="54"/>
      <c r="R20" s="54"/>
      <c r="S20" s="54"/>
    </row>
    <row r="21" spans="1:19" x14ac:dyDescent="0.3">
      <c r="A21" s="54"/>
      <c r="B21" s="54"/>
      <c r="C21" s="53"/>
      <c r="D21" s="54"/>
      <c r="E21" s="54"/>
      <c r="F21" s="70"/>
      <c r="G21" s="71"/>
      <c r="H21" s="71"/>
      <c r="I21" s="71"/>
      <c r="J21" s="54"/>
      <c r="K21" s="54"/>
      <c r="L21" s="54"/>
      <c r="M21" s="54"/>
      <c r="N21" s="54"/>
      <c r="O21" s="54"/>
      <c r="P21" s="54"/>
      <c r="Q21" s="54"/>
      <c r="R21" s="54"/>
      <c r="S21" s="54"/>
    </row>
    <row r="22" spans="1:19" x14ac:dyDescent="0.3">
      <c r="A22" s="54"/>
      <c r="B22" s="54"/>
      <c r="C22" s="53"/>
      <c r="D22" s="54"/>
      <c r="E22" s="54"/>
      <c r="F22" s="70"/>
      <c r="G22" s="71"/>
      <c r="H22" s="71"/>
      <c r="I22" s="71"/>
      <c r="J22" s="54"/>
      <c r="K22" s="54"/>
      <c r="L22" s="54"/>
      <c r="M22" s="54"/>
      <c r="N22" s="54"/>
      <c r="O22" s="54"/>
      <c r="P22" s="54"/>
      <c r="Q22" s="54"/>
      <c r="R22" s="54"/>
      <c r="S22" s="54"/>
    </row>
    <row r="23" spans="1:19" x14ac:dyDescent="0.3">
      <c r="A23" s="54"/>
      <c r="B23" s="54"/>
      <c r="C23" s="53"/>
      <c r="D23" s="54"/>
      <c r="E23" s="54"/>
      <c r="F23" s="70"/>
      <c r="G23" s="71"/>
      <c r="H23" s="71"/>
      <c r="I23" s="71"/>
      <c r="J23" s="54"/>
      <c r="K23" s="54"/>
      <c r="L23" s="54"/>
      <c r="M23" s="54"/>
      <c r="N23" s="54"/>
      <c r="O23" s="54"/>
      <c r="P23" s="54"/>
      <c r="Q23" s="54"/>
      <c r="R23" s="54"/>
      <c r="S23" s="54"/>
    </row>
    <row r="24" spans="1:19" x14ac:dyDescent="0.3">
      <c r="A24" s="54"/>
      <c r="B24" s="54"/>
      <c r="C24" s="53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</row>
    <row r="25" spans="1:19" x14ac:dyDescent="0.3">
      <c r="A25" s="54"/>
      <c r="B25" s="54"/>
      <c r="C25" s="53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</row>
    <row r="26" spans="1:19" x14ac:dyDescent="0.3">
      <c r="A26" s="54"/>
      <c r="B26" s="54"/>
      <c r="C26" s="53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</row>
  </sheetData>
  <mergeCells count="1">
    <mergeCell ref="E8:L8"/>
  </mergeCells>
  <conditionalFormatting sqref="C14">
    <cfRule type="cellIs" dxfId="2" priority="2" operator="equal">
      <formula>"Unvai"</formula>
    </cfRule>
    <cfRule type="containsText" dxfId="1" priority="3" operator="containsText" text="Avai">
      <formula>NOT(ISERROR(SEARCH("Avai",C14)))</formula>
    </cfRule>
  </conditionalFormatting>
  <conditionalFormatting sqref="F14:I23">
    <cfRule type="containsErrors" dxfId="0" priority="7">
      <formula>ISERROR(F14)</formula>
    </cfRule>
  </conditionalFormatting>
  <dataValidations count="5">
    <dataValidation type="list" allowBlank="1" showInputMessage="1" showErrorMessage="1" sqref="E5" xr:uid="{219F4525-1EF1-41AA-9B45-5E88603536E0}">
      <formula1>DinM</formula1>
    </dataValidation>
    <dataValidation type="list" allowBlank="1" showInputMessage="1" showErrorMessage="1" sqref="C8" xr:uid="{8977E94D-3DAA-491C-800D-AF374E9F1938}">
      <formula1>RoomType</formula1>
    </dataValidation>
    <dataValidation type="list" allowBlank="1" showInputMessage="1" showErrorMessage="1" sqref="C12" xr:uid="{D0EE6A5E-11FF-4D6D-A541-FD8A4DF12116}">
      <formula1>INDIRECT($C$8)</formula1>
    </dataValidation>
    <dataValidation type="list" allowBlank="1" showInputMessage="1" showErrorMessage="1" sqref="C5" xr:uid="{44F9DC61-3A38-44C7-AC10-E9A786F3C6D5}">
      <formula1>Year</formula1>
    </dataValidation>
    <dataValidation type="list" allowBlank="1" showInputMessage="1" showErrorMessage="1" sqref="D5" xr:uid="{DDBFBA79-55C6-44BA-927F-D2B470B3B3D9}">
      <formula1>Month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6DD661-9285-4300-B7FF-F4B9FFF82B14}">
          <x14:formula1>
            <xm:f>List!$N$3:$N$33</xm:f>
          </x14:formula1>
          <xm:sqref>G5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Sheet1</vt:lpstr>
      <vt:lpstr>List</vt:lpstr>
      <vt:lpstr>Calendar</vt:lpstr>
      <vt:lpstr>Pivot</vt:lpstr>
      <vt:lpstr>DataBase</vt:lpstr>
      <vt:lpstr>Home</vt:lpstr>
      <vt:lpstr>A</vt:lpstr>
      <vt:lpstr>B</vt:lpstr>
      <vt:lpstr>BedType</vt:lpstr>
      <vt:lpstr>C_1</vt:lpstr>
      <vt:lpstr>C_2</vt:lpstr>
      <vt:lpstr>Check_in</vt:lpstr>
      <vt:lpstr>Check_out</vt:lpstr>
      <vt:lpstr>Day</vt:lpstr>
      <vt:lpstr>DinM</vt:lpstr>
      <vt:lpstr>Month</vt:lpstr>
      <vt:lpstr>Room</vt:lpstr>
      <vt:lpstr>RoomType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 Teeramat</dc:creator>
  <cp:lastModifiedBy>Anon Teeramat</cp:lastModifiedBy>
  <dcterms:created xsi:type="dcterms:W3CDTF">2023-09-25T15:18:17Z</dcterms:created>
  <dcterms:modified xsi:type="dcterms:W3CDTF">2024-10-02T11:28:51Z</dcterms:modified>
</cp:coreProperties>
</file>